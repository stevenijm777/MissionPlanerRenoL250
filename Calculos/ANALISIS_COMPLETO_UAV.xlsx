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teve\Documents\GitRepositories\MissionPlanerRenoL250\Calculos\"/>
    </mc:Choice>
  </mc:AlternateContent>
  <xr:revisionPtr revIDLastSave="0" documentId="13_ncr:1_{19A77B96-FF58-44E4-8D03-833530E80077}" xr6:coauthVersionLast="47" xr6:coauthVersionMax="47" xr10:uidLastSave="{00000000-0000-0000-0000-000000000000}"/>
  <bookViews>
    <workbookView xWindow="-120" yWindow="-120" windowWidth="38640" windowHeight="21480" activeTab="1" xr2:uid="{00000000-000D-0000-FFFF-FFFF00000000}"/>
  </bookViews>
  <sheets>
    <sheet name="DESEMPENO_UAV" sheetId="1" r:id="rId1"/>
    <sheet name="MATERIALES_USA" sheetId="2" r:id="rId2"/>
    <sheet name="AERODINAMICA_CF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3" l="1"/>
  <c r="E8" i="3"/>
  <c r="E7" i="3"/>
  <c r="E6" i="3"/>
  <c r="E5" i="3"/>
  <c r="E4" i="3"/>
  <c r="V17" i="2"/>
  <c r="T23" i="2" s="1"/>
  <c r="T17" i="2"/>
  <c r="O17" i="2"/>
  <c r="V16" i="2"/>
  <c r="Q16" i="2"/>
  <c r="O16" i="2"/>
  <c r="L16" i="2"/>
  <c r="J16" i="2"/>
  <c r="J17" i="2" s="1"/>
  <c r="G16" i="2"/>
  <c r="G17" i="2" s="1"/>
  <c r="E23" i="2" s="1"/>
  <c r="E16" i="2"/>
  <c r="E17" i="2" s="1"/>
  <c r="V15" i="2"/>
  <c r="T15" i="2"/>
  <c r="Q15" i="2"/>
  <c r="O15" i="2"/>
  <c r="L15" i="2"/>
  <c r="J15" i="2"/>
  <c r="G15" i="2"/>
  <c r="E15" i="2"/>
  <c r="V14" i="2"/>
  <c r="T14" i="2"/>
  <c r="Q14" i="2"/>
  <c r="Q17" i="2" s="1"/>
  <c r="O23" i="2" s="1"/>
  <c r="O14" i="2"/>
  <c r="L14" i="2"/>
  <c r="L17" i="2" s="1"/>
  <c r="J23" i="2" s="1"/>
  <c r="J14" i="2"/>
  <c r="G14" i="2"/>
  <c r="E14" i="2"/>
  <c r="V13" i="2"/>
  <c r="T13" i="2"/>
  <c r="Q13" i="2"/>
  <c r="O13" i="2"/>
  <c r="L13" i="2"/>
  <c r="J13" i="2"/>
  <c r="G13" i="2"/>
  <c r="E13" i="2"/>
  <c r="V12" i="2"/>
  <c r="T12" i="2"/>
  <c r="Q12" i="2"/>
  <c r="O12" i="2"/>
  <c r="L12" i="2"/>
  <c r="J12" i="2"/>
  <c r="G12" i="2"/>
  <c r="E12" i="2"/>
  <c r="V11" i="2"/>
  <c r="T11" i="2"/>
  <c r="Q11" i="2"/>
  <c r="O11" i="2"/>
  <c r="L11" i="2"/>
  <c r="J11" i="2"/>
  <c r="G11" i="2"/>
  <c r="E11" i="2"/>
  <c r="V10" i="2"/>
  <c r="T10" i="2"/>
  <c r="Q10" i="2"/>
  <c r="O10" i="2"/>
  <c r="L10" i="2"/>
  <c r="J10" i="2"/>
  <c r="G10" i="2"/>
  <c r="E10" i="2"/>
  <c r="V9" i="2"/>
  <c r="T9" i="2"/>
  <c r="Q9" i="2"/>
  <c r="O9" i="2"/>
  <c r="L9" i="2"/>
  <c r="J9" i="2"/>
  <c r="G9" i="2"/>
  <c r="E9" i="2"/>
  <c r="V8" i="2"/>
  <c r="T8" i="2"/>
  <c r="Q8" i="2"/>
  <c r="O8" i="2"/>
  <c r="L8" i="2"/>
  <c r="J8" i="2"/>
  <c r="G8" i="2"/>
  <c r="E8" i="2"/>
  <c r="V7" i="2"/>
  <c r="T7" i="2"/>
  <c r="Q7" i="2"/>
  <c r="O7" i="2"/>
  <c r="L7" i="2"/>
  <c r="J7" i="2"/>
  <c r="G7" i="2"/>
  <c r="E7" i="2"/>
  <c r="V6" i="2"/>
  <c r="T6" i="2"/>
  <c r="Q6" i="2"/>
  <c r="O6" i="2"/>
  <c r="L6" i="2"/>
  <c r="J6" i="2"/>
  <c r="G6" i="2"/>
  <c r="E6" i="2"/>
  <c r="V5" i="2"/>
  <c r="T5" i="2"/>
  <c r="Q5" i="2"/>
  <c r="O5" i="2"/>
  <c r="L5" i="2"/>
  <c r="J5" i="2"/>
  <c r="G5" i="2"/>
  <c r="E5" i="2"/>
  <c r="V4" i="2"/>
  <c r="T4" i="2"/>
  <c r="Q4" i="2"/>
  <c r="O4" i="2"/>
  <c r="L4" i="2"/>
  <c r="J4" i="2"/>
  <c r="G4" i="2"/>
  <c r="E4" i="2"/>
  <c r="V3" i="2"/>
  <c r="T3" i="2"/>
  <c r="Q3" i="2"/>
  <c r="O3" i="2"/>
  <c r="L3" i="2"/>
  <c r="J3" i="2"/>
  <c r="G3" i="2"/>
  <c r="E3" i="2"/>
  <c r="F38" i="1"/>
  <c r="E38" i="1"/>
  <c r="D38" i="1"/>
  <c r="C38" i="1"/>
  <c r="F37" i="1"/>
  <c r="E37" i="1"/>
  <c r="D37" i="1"/>
  <c r="C37" i="1"/>
  <c r="F35" i="1"/>
  <c r="F36" i="1" s="1"/>
  <c r="E35" i="1"/>
  <c r="E36" i="1" s="1"/>
  <c r="D35" i="1"/>
  <c r="D36" i="1" s="1"/>
  <c r="C35" i="1"/>
  <c r="C36" i="1" s="1"/>
  <c r="F33" i="1"/>
  <c r="F34" i="1" s="1"/>
  <c r="E33" i="1"/>
  <c r="E34" i="1" s="1"/>
  <c r="D33" i="1"/>
  <c r="D34" i="1" s="1"/>
  <c r="C33" i="1"/>
  <c r="C34" i="1" s="1"/>
  <c r="F15" i="1"/>
  <c r="E15" i="1"/>
  <c r="D15" i="1"/>
  <c r="C15" i="1"/>
  <c r="F8" i="1"/>
  <c r="E8" i="1"/>
  <c r="D8" i="1"/>
  <c r="C8" i="1"/>
  <c r="T24" i="2" l="1"/>
  <c r="T25" i="2"/>
  <c r="T26" i="2"/>
  <c r="T27" i="2"/>
  <c r="T21" i="2"/>
  <c r="T22" i="2" s="1"/>
  <c r="T29" i="2" s="1"/>
  <c r="F40" i="1" s="1"/>
  <c r="F26" i="1"/>
  <c r="O21" i="2"/>
  <c r="O22" i="2" s="1"/>
  <c r="O29" i="2" s="1"/>
  <c r="E40" i="1" s="1"/>
  <c r="E26" i="1"/>
  <c r="D26" i="1"/>
  <c r="J21" i="2"/>
  <c r="J22" i="2" s="1"/>
  <c r="J29" i="2" s="1"/>
  <c r="D40" i="1" s="1"/>
  <c r="E24" i="2"/>
  <c r="E25" i="2"/>
  <c r="E26" i="2"/>
  <c r="E27" i="2"/>
  <c r="E21" i="2"/>
  <c r="E22" i="2" s="1"/>
  <c r="E29" i="2" s="1"/>
  <c r="C40" i="1" s="1"/>
  <c r="C26" i="1"/>
  <c r="O24" i="2"/>
  <c r="O25" i="2"/>
  <c r="O26" i="2"/>
  <c r="O27" i="2"/>
  <c r="J24" i="2"/>
  <c r="J25" i="2"/>
  <c r="J26" i="2"/>
  <c r="J27" i="2"/>
  <c r="F27" i="1" l="1"/>
  <c r="F31" i="1"/>
  <c r="F32" i="1"/>
  <c r="E31" i="1"/>
  <c r="E32" i="1"/>
  <c r="E27" i="1"/>
  <c r="E28" i="1" s="1"/>
  <c r="D27" i="1"/>
  <c r="D31" i="1"/>
  <c r="D32" i="1"/>
  <c r="C27" i="1"/>
  <c r="C31" i="1"/>
  <c r="C32" i="1"/>
  <c r="F28" i="1" l="1"/>
  <c r="F30" i="1"/>
  <c r="E29" i="1"/>
  <c r="E39" i="1"/>
  <c r="D28" i="1"/>
  <c r="D30" i="1"/>
  <c r="C28" i="1"/>
  <c r="C30" i="1"/>
  <c r="F29" i="1" l="1"/>
  <c r="F39" i="1"/>
  <c r="D29" i="1"/>
  <c r="D39" i="1"/>
  <c r="C29" i="1"/>
  <c r="C39" i="1"/>
</calcChain>
</file>

<file path=xl/sharedStrings.xml><?xml version="1.0" encoding="utf-8"?>
<sst xmlns="http://schemas.openxmlformats.org/spreadsheetml/2006/main" count="185" uniqueCount="175">
  <si>
    <t>ANÁLISIS DE DESEMPEÑO DE PLATAFORMAS UAV</t>
  </si>
  <si>
    <t>Simbología</t>
  </si>
  <si>
    <t>Características</t>
  </si>
  <si>
    <t>Foam Board (Manual)</t>
  </si>
  <si>
    <t>Foam Board (Auto)</t>
  </si>
  <si>
    <t>Reno L250 (Auto)</t>
  </si>
  <si>
    <t>Foam Board (2200KV Variant)</t>
  </si>
  <si>
    <t>1. DATOS FÍSICOS Y GEOMETRÍA (ENTRADAS CAD)</t>
  </si>
  <si>
    <t>b</t>
  </si>
  <si>
    <t>Envergadura (m)</t>
  </si>
  <si>
    <t>S</t>
  </si>
  <si>
    <t>Área Alar (m²)</t>
  </si>
  <si>
    <t>L</t>
  </si>
  <si>
    <t>Longitud aproximada (m)</t>
  </si>
  <si>
    <t>c</t>
  </si>
  <si>
    <t>Cuerda media (MAC, m)</t>
  </si>
  <si>
    <t>AR</t>
  </si>
  <si>
    <t>Relación de Aspecto (Aspect Ratio)</t>
  </si>
  <si>
    <t>2. SISTEMA DE PROPULSIÓN Y BATERÍA (ENTRADAS ESPECIFICACIONES)</t>
  </si>
  <si>
    <t>-</t>
  </si>
  <si>
    <t>Modelo del Motor Brushless</t>
  </si>
  <si>
    <t>A2212 1000KV</t>
  </si>
  <si>
    <t>KingVal 3548 1100KV</t>
  </si>
  <si>
    <t>2206 2200KV</t>
  </si>
  <si>
    <t>Variador de velocidad (ESC)</t>
  </si>
  <si>
    <t>ESC 30A</t>
  </si>
  <si>
    <t>ESC 60A</t>
  </si>
  <si>
    <t>Hélice seleccionada</t>
  </si>
  <si>
    <t>10x4.5</t>
  </si>
  <si>
    <t>12x6</t>
  </si>
  <si>
    <t>5x4.5</t>
  </si>
  <si>
    <t>Vbatt</t>
  </si>
  <si>
    <t>Voltaje nominal de batería (V)</t>
  </si>
  <si>
    <t>C</t>
  </si>
  <si>
    <t>Capacidad de la batería (Ah)</t>
  </si>
  <si>
    <t>E</t>
  </si>
  <si>
    <t>Energía total nominal (Wh)</t>
  </si>
  <si>
    <t>Tkg</t>
  </si>
  <si>
    <t>Empuje máximo estático (kg)</t>
  </si>
  <si>
    <t>I_cruise</t>
  </si>
  <si>
    <t>Corriente promedio en crucero (A)</t>
  </si>
  <si>
    <t>I_max</t>
  </si>
  <si>
    <t>Corriente en máxima aceleración (A)</t>
  </si>
  <si>
    <t>I_elec</t>
  </si>
  <si>
    <t>Consumo electrónica + servos (A)</t>
  </si>
  <si>
    <t>3. CONSTANTES OPERATIVAS Y LÍMITES</t>
  </si>
  <si>
    <t>g</t>
  </si>
  <si>
    <t>Aceleración de gravedad (g, m/s²)</t>
  </si>
  <si>
    <t>ρ</t>
  </si>
  <si>
    <t>Densidad del aire (mar, ISA, kg/m³)</t>
  </si>
  <si>
    <t>CLmax</t>
  </si>
  <si>
    <t>Coeficiente de Sustentación máximo</t>
  </si>
  <si>
    <t>CL_CFD</t>
  </si>
  <si>
    <t>Coeficiente sustentación pérdida (CFD)</t>
  </si>
  <si>
    <t>N/A</t>
  </si>
  <si>
    <t>4. ANÁLISIS DINÁMICO Y DESEMPEÑO CALCULADO</t>
  </si>
  <si>
    <t>m</t>
  </si>
  <si>
    <t>Masa total al despegue (MTOW, kg)</t>
  </si>
  <si>
    <t>W</t>
  </si>
  <si>
    <t>Peso total estimado (W, N)</t>
  </si>
  <si>
    <t>Vstall</t>
  </si>
  <si>
    <t>Velocidad de pérdida de diseño (m/s)</t>
  </si>
  <si>
    <t>Vstall_k</t>
  </si>
  <si>
    <t>Velocidad de pérdida de diseño (km/h)</t>
  </si>
  <si>
    <t>Vstall_CFD</t>
  </si>
  <si>
    <t>Velocidad de pérdida según CFD (m/s)</t>
  </si>
  <si>
    <t>WL</t>
  </si>
  <si>
    <t>Carga Alar de Operación (g/dm²)</t>
  </si>
  <si>
    <t>T/W_max</t>
  </si>
  <si>
    <t>Relación Empuje/Peso Máxima</t>
  </si>
  <si>
    <t>t_th</t>
  </si>
  <si>
    <t>Autonomía Teórica en crucero (min)</t>
  </si>
  <si>
    <t>t_pr</t>
  </si>
  <si>
    <t>Autonomía Práctica en crucero (70%, min)</t>
  </si>
  <si>
    <t>t_th_max</t>
  </si>
  <si>
    <t>Autonomía Teórica al 100% Throttle (min)</t>
  </si>
  <si>
    <t>t_pr_max</t>
  </si>
  <si>
    <t>Autonomía Práctica al 100% Throttle (min)</t>
  </si>
  <si>
    <t>P_cruise</t>
  </si>
  <si>
    <t>Potencia requerida en crucero (W)</t>
  </si>
  <si>
    <t>P_max</t>
  </si>
  <si>
    <t>Potencia máxima de propulsión (W)</t>
  </si>
  <si>
    <t>V_cruise_rec</t>
  </si>
  <si>
    <t>Velocidad de crucero recomendada (m/s)</t>
  </si>
  <si>
    <t>Costo total importado (USD)</t>
  </si>
  <si>
    <t>DESGLOSE DE COSTOS Y ANÁLISIS DE IMPORTACIÓN (FOB EE.UU.)</t>
  </si>
  <si>
    <t>Componente</t>
  </si>
  <si>
    <t>Especificaciones</t>
  </si>
  <si>
    <t>Manual Qty</t>
  </si>
  <si>
    <t>W Unit Manual (g)</t>
  </si>
  <si>
    <t>W Total Manual (g)</t>
  </si>
  <si>
    <t>P Unit Manual (USD)</t>
  </si>
  <si>
    <t>P Total Manual (USD)</t>
  </si>
  <si>
    <t>Auto Qty</t>
  </si>
  <si>
    <t>W Unit Auto (g)</t>
  </si>
  <si>
    <t>W Total Auto (g)</t>
  </si>
  <si>
    <t>P Unit Auto (USD)</t>
  </si>
  <si>
    <t>P Total Auto (USD)</t>
  </si>
  <si>
    <t>Reno Qty</t>
  </si>
  <si>
    <t>W Unit Reno (g)</t>
  </si>
  <si>
    <t>W Total Reno (g)</t>
  </si>
  <si>
    <t>P Unit Reno (USD)</t>
  </si>
  <si>
    <t>P Total Reno (USD)</t>
  </si>
  <si>
    <t>Variant Qty</t>
  </si>
  <si>
    <t>W Unit Variant (g)</t>
  </si>
  <si>
    <t>W Total Variant (g)</t>
  </si>
  <si>
    <t>P Unit Variant (USD)</t>
  </si>
  <si>
    <t>P Total Variant (USD)</t>
  </si>
  <si>
    <t>Referencia Link</t>
  </si>
  <si>
    <t>Fuselaje / Estructura</t>
  </si>
  <si>
    <t>Madera balsa / Foam board según plataforma</t>
  </si>
  <si>
    <t>https://www.joyplanes.com/es/joytrainer-mini/</t>
  </si>
  <si>
    <t>Motor Brushless</t>
  </si>
  <si>
    <t>A2212 1000KV / KingVal 3548 1100KV / 2206 2200KV</t>
  </si>
  <si>
    <t>https://a.co/d/4o5VnrM</t>
  </si>
  <si>
    <t>Variador de Velocidad (ESC)</t>
  </si>
  <si>
    <t>ESC 30A (manual/auto/variant) / Flycolor 60A (Reno)</t>
  </si>
  <si>
    <t>https://www.amazon.com/dp/B09PNFKH23</t>
  </si>
  <si>
    <t>Hélice de Diseño</t>
  </si>
  <si>
    <t>10x4.5 (Foam) / 12x6 (Reno) / 5x4.5 (Variant)</t>
  </si>
  <si>
    <t>https://a.co/d/cJSaEcq</t>
  </si>
  <si>
    <t>Batería LiPo 3S</t>
  </si>
  <si>
    <t>Lipo 3S 2200 mAh (11.1 V)</t>
  </si>
  <si>
    <t>https://www.amazon.com/dp/B077P73SDS</t>
  </si>
  <si>
    <t>Servomotores</t>
  </si>
  <si>
    <t>9g estándar (Foam) / MG996R metal gear (Reno)</t>
  </si>
  <si>
    <t>https://www.amazon.com/s?k=MG996R</t>
  </si>
  <si>
    <t>Controlador de Vuelo</t>
  </si>
  <si>
    <t>Pixhawk 2.4.8 Autopilot</t>
  </si>
  <si>
    <t>https://www.amazon.com/dp/B07CHQ7SZ4</t>
  </si>
  <si>
    <t>Módulo GPS / GNSS</t>
  </si>
  <si>
    <t>NEO-M8N GPS con soporte antena</t>
  </si>
  <si>
    <t>https://www.aliexpress.com/item/3256802594266311.html</t>
  </si>
  <si>
    <t>Receptor Radiocontrol</t>
  </si>
  <si>
    <t>Flysky FS-iA6B / FS-iA10B (2.4 GHz)</t>
  </si>
  <si>
    <t>https://www.amazon.com/dp/B0744DPPL8</t>
  </si>
  <si>
    <t>Transmisor Radiocontrol</t>
  </si>
  <si>
    <t>Flysky FS-i6X (Estación Terrena - No embarcado)</t>
  </si>
  <si>
    <t>Módulo de Alimentación (BEC)</t>
  </si>
  <si>
    <t>Power Module 5.3V BEC con enchufe XT60</t>
  </si>
  <si>
    <t>https://www.amazon.com/dp/B06XFW1X3K</t>
  </si>
  <si>
    <t>Acople impreso 3D</t>
  </si>
  <si>
    <t>Soporte motor impreso PLA (en Reno)</t>
  </si>
  <si>
    <t>Diseño Interno CAD (PLA)</t>
  </si>
  <si>
    <t>Base interna impresa 3D</t>
  </si>
  <si>
    <t>Base soporte baterías y Pixhawk (en Reno)</t>
  </si>
  <si>
    <t>Otros (Tornillería, cables, velcro, pegamento, varillas)</t>
  </si>
  <si>
    <t>Elementos varios para integración física</t>
  </si>
  <si>
    <t>Material de taller local</t>
  </si>
  <si>
    <t>SUBTOTALES (FOB EE.UU.)</t>
  </si>
  <si>
    <t>ANÁLISIS DE COSTO DE IMPORTACIÓN A ECUADOR</t>
  </si>
  <si>
    <t>Costo por Libra Courier ($/lb)</t>
  </si>
  <si>
    <t>Peso de Vuelo Total (lbs)</t>
  </si>
  <si>
    <t>Costo por Flete (Costo Peso)</t>
  </si>
  <si>
    <t>Precio FOB en EE.UU. (USD)</t>
  </si>
  <si>
    <t>Envío Doméstico en EE.UU. (Shipping 12%)</t>
  </si>
  <si>
    <t>Impuesto Ventas EE.UU. (US Sales Tax 6%)</t>
  </si>
  <si>
    <t>Arancel de Importación (Adunas 15% FOB)</t>
  </si>
  <si>
    <t>FODINFA (5% FOB + $2.00 Fijo)</t>
  </si>
  <si>
    <t>Tasa Fija Courier (Aduana Ecu.)</t>
  </si>
  <si>
    <t>COSTO TOTAL IMPORTADO (USD)</t>
  </si>
  <si>
    <t>CARACTERIZACIÓN AERODINÁMICA MEDIANTE CFD (SOLIDWORKS)</t>
  </si>
  <si>
    <t>Coeficientes longitudinales del Foam Board (crucero constante V = 15 m/s, q = 137.81 Pa, S = 0.1699 m²)</t>
  </si>
  <si>
    <t>Ángulo de Ataque (AoA, α)</t>
  </si>
  <si>
    <t>Coeficiente Sustentación (CL)</t>
  </si>
  <si>
    <t>Coeficiente Arrastre (CD)</t>
  </si>
  <si>
    <t>Coeficiente Momento (Cm @ CG)</t>
  </si>
  <si>
    <t>Eficiencia Aerodinámica (L/D)</t>
  </si>
  <si>
    <t>DERIVADAS DE ESTABILIDAD Y COMPORTAMIENTO LONGITUDINAL</t>
  </si>
  <si>
    <t>Pendiente de Sustentación (Linear CL_alpha)</t>
  </si>
  <si>
    <t>CL_alpha</t>
  </si>
  <si>
    <t>Gradiente de Momento de Cabeceo (Cm_alpha)</t>
  </si>
  <si>
    <t>Cm_alpha</t>
  </si>
  <si>
    <t>Margen Estático de Diseño (Static Margin, SM)</t>
  </si>
  <si>
    <t>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</si>
</sst>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0.00&quot; g&quot;"/>
    <numFmt numFmtId="165" formatCode="&quot;$&quot;#,##0.00"/>
    <numFmt numFmtId="166" formatCode="0.00&quot; lbs&quot;"/>
    <numFmt numFmtId="167" formatCode="0.000&quot; m&quot;"/>
    <numFmt numFmtId="168" formatCode="0.0000&quot; m²&quot;"/>
    <numFmt numFmtId="169" formatCode="0.0&quot; V&quot;"/>
    <numFmt numFmtId="170" formatCode="0.0&quot; Ah&quot;"/>
    <numFmt numFmtId="171" formatCode="0.00&quot; Wh&quot;"/>
    <numFmt numFmtId="172" formatCode="0.000&quot; kg&quot;"/>
    <numFmt numFmtId="173" formatCode="0.0&quot; A&quot;"/>
    <numFmt numFmtId="174" formatCode="0.00&quot; m/s²&quot;"/>
    <numFmt numFmtId="175" formatCode="0.000&quot; kg/m³&quot;"/>
    <numFmt numFmtId="176" formatCode="0.00&quot; N&quot;"/>
    <numFmt numFmtId="177" formatCode="0.00&quot; m/s&quot;"/>
    <numFmt numFmtId="178" formatCode="0.00&quot; km/h&quot;"/>
    <numFmt numFmtId="179" formatCode="0.0&quot; g/dm²&quot;"/>
    <numFmt numFmtId="180" formatCode="0.0&quot; min&quot;"/>
    <numFmt numFmtId="181" formatCode="0.0&quot; W&quot;"/>
    <numFmt numFmtId="182" formatCode="0&quot;°&quot;"/>
    <numFmt numFmtId="183" formatCode="0.000"/>
    <numFmt numFmtId="184" formatCode="0.000&quot; rad⁻¹&quot;"/>
    <numFmt numFmtId="185" formatCode="0.0%"/>
  </numFmts>
  <fonts count="7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b/>
      <sz val="11"/>
      <color rgb="FF1F4E79"/>
      <name val="Calibri"/>
    </font>
    <font>
      <i/>
      <sz val="9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5597"/>
        <bgColor rgb="FF2F5597"/>
      </patternFill>
    </fill>
    <fill>
      <patternFill patternType="solid">
        <fgColor rgb="FFF2F4F8"/>
        <bgColor rgb="FFF2F4F8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1F4E79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67" fontId="3" fillId="4" borderId="1" xfId="0" applyNumberFormat="1" applyFont="1" applyFill="1" applyBorder="1" applyAlignment="1">
      <alignment horizontal="righ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168" fontId="3" fillId="0" borderId="1" xfId="0" applyNumberFormat="1" applyFont="1" applyBorder="1" applyAlignment="1">
      <alignment horizontal="right" vertical="center"/>
    </xf>
    <xf numFmtId="167" fontId="3" fillId="0" borderId="1" xfId="0" applyNumberFormat="1" applyFont="1" applyBorder="1" applyAlignment="1">
      <alignment horizontal="right" vertical="center"/>
    </xf>
    <xf numFmtId="2" fontId="3" fillId="4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169" fontId="3" fillId="0" borderId="1" xfId="0" applyNumberFormat="1" applyFont="1" applyBorder="1" applyAlignment="1">
      <alignment horizontal="right" vertical="center"/>
    </xf>
    <xf numFmtId="170" fontId="3" fillId="4" borderId="1" xfId="0" applyNumberFormat="1" applyFont="1" applyFill="1" applyBorder="1" applyAlignment="1">
      <alignment horizontal="right" vertical="center"/>
    </xf>
    <xf numFmtId="171" fontId="3" fillId="0" borderId="1" xfId="0" applyNumberFormat="1" applyFont="1" applyBorder="1" applyAlignment="1">
      <alignment horizontal="right" vertical="center"/>
    </xf>
    <xf numFmtId="172" fontId="3" fillId="4" borderId="1" xfId="0" applyNumberFormat="1" applyFont="1" applyFill="1" applyBorder="1" applyAlignment="1">
      <alignment horizontal="right" vertical="center"/>
    </xf>
    <xf numFmtId="173" fontId="3" fillId="0" borderId="1" xfId="0" applyNumberFormat="1" applyFont="1" applyBorder="1" applyAlignment="1">
      <alignment horizontal="right" vertical="center"/>
    </xf>
    <xf numFmtId="173" fontId="3" fillId="4" borderId="1" xfId="0" applyNumberFormat="1" applyFont="1" applyFill="1" applyBorder="1" applyAlignment="1">
      <alignment horizontal="right" vertical="center"/>
    </xf>
    <xf numFmtId="174" fontId="3" fillId="0" borderId="1" xfId="0" applyNumberFormat="1" applyFont="1" applyBorder="1" applyAlignment="1">
      <alignment horizontal="right" vertical="center"/>
    </xf>
    <xf numFmtId="175" fontId="3" fillId="4" borderId="1" xfId="0" applyNumberFormat="1" applyFont="1" applyFill="1" applyBorder="1" applyAlignment="1">
      <alignment horizontal="right" vertical="center"/>
    </xf>
    <xf numFmtId="2" fontId="3" fillId="0" borderId="1" xfId="0" applyNumberFormat="1" applyFont="1" applyBorder="1" applyAlignment="1">
      <alignment horizontal="right" vertical="center"/>
    </xf>
    <xf numFmtId="176" fontId="3" fillId="0" borderId="1" xfId="0" applyNumberFormat="1" applyFont="1" applyBorder="1" applyAlignment="1">
      <alignment horizontal="right" vertical="center"/>
    </xf>
    <xf numFmtId="177" fontId="3" fillId="4" borderId="1" xfId="0" applyNumberFormat="1" applyFont="1" applyFill="1" applyBorder="1" applyAlignment="1">
      <alignment horizontal="right" vertical="center"/>
    </xf>
    <xf numFmtId="178" fontId="3" fillId="0" borderId="1" xfId="0" applyNumberFormat="1" applyFont="1" applyBorder="1" applyAlignment="1">
      <alignment horizontal="right" vertical="center"/>
    </xf>
    <xf numFmtId="179" fontId="3" fillId="0" borderId="1" xfId="0" applyNumberFormat="1" applyFont="1" applyBorder="1" applyAlignment="1">
      <alignment horizontal="right" vertical="center"/>
    </xf>
    <xf numFmtId="180" fontId="3" fillId="0" borderId="1" xfId="0" applyNumberFormat="1" applyFont="1" applyBorder="1" applyAlignment="1">
      <alignment horizontal="right" vertical="center"/>
    </xf>
    <xf numFmtId="180" fontId="3" fillId="4" borderId="1" xfId="0" applyNumberFormat="1" applyFont="1" applyFill="1" applyBorder="1" applyAlignment="1">
      <alignment horizontal="right" vertical="center"/>
    </xf>
    <xf numFmtId="181" fontId="3" fillId="0" borderId="1" xfId="0" applyNumberFormat="1" applyFont="1" applyBorder="1" applyAlignment="1">
      <alignment horizontal="right" vertical="center"/>
    </xf>
    <xf numFmtId="181" fontId="3" fillId="4" borderId="1" xfId="0" applyNumberFormat="1" applyFont="1" applyFill="1" applyBorder="1" applyAlignment="1">
      <alignment horizontal="right" vertical="center"/>
    </xf>
    <xf numFmtId="177" fontId="3" fillId="0" borderId="1" xfId="0" applyNumberFormat="1" applyFont="1" applyBorder="1" applyAlignment="1">
      <alignment horizontal="right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165" fontId="4" fillId="6" borderId="2" xfId="0" applyNumberFormat="1" applyFont="1" applyFill="1" applyBorder="1" applyAlignment="1">
      <alignment horizontal="right" vertical="center"/>
    </xf>
    <xf numFmtId="164" fontId="3" fillId="0" borderId="1" xfId="0" applyNumberFormat="1" applyFont="1" applyBorder="1" applyAlignment="1">
      <alignment horizontal="right" vertical="center"/>
    </xf>
    <xf numFmtId="165" fontId="3" fillId="0" borderId="1" xfId="0" applyNumberFormat="1" applyFont="1" applyBorder="1" applyAlignment="1">
      <alignment horizontal="right" vertical="center"/>
    </xf>
    <xf numFmtId="164" fontId="3" fillId="4" borderId="1" xfId="0" applyNumberFormat="1" applyFont="1" applyFill="1" applyBorder="1" applyAlignment="1">
      <alignment horizontal="right" vertical="center"/>
    </xf>
    <xf numFmtId="165" fontId="3" fillId="4" borderId="1" xfId="0" applyNumberFormat="1" applyFont="1" applyFill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0" fillId="0" borderId="2" xfId="0" applyBorder="1"/>
    <xf numFmtId="164" fontId="4" fillId="0" borderId="2" xfId="0" applyNumberFormat="1" applyFont="1" applyBorder="1" applyAlignment="1">
      <alignment horizontal="right" vertical="center"/>
    </xf>
    <xf numFmtId="165" fontId="4" fillId="0" borderId="2" xfId="0" applyNumberFormat="1" applyFont="1" applyBorder="1" applyAlignment="1">
      <alignment horizontal="right" vertical="center"/>
    </xf>
    <xf numFmtId="166" fontId="3" fillId="0" borderId="1" xfId="0" applyNumberFormat="1" applyFont="1" applyBorder="1" applyAlignment="1">
      <alignment horizontal="right" vertical="center"/>
    </xf>
    <xf numFmtId="182" fontId="3" fillId="4" borderId="1" xfId="0" applyNumberFormat="1" applyFont="1" applyFill="1" applyBorder="1" applyAlignment="1">
      <alignment horizontal="center" vertical="center"/>
    </xf>
    <xf numFmtId="183" fontId="3" fillId="4" borderId="1" xfId="0" applyNumberFormat="1" applyFont="1" applyFill="1" applyBorder="1" applyAlignment="1">
      <alignment horizontal="right" vertical="center"/>
    </xf>
    <xf numFmtId="182" fontId="3" fillId="0" borderId="1" xfId="0" applyNumberFormat="1" applyFont="1" applyBorder="1" applyAlignment="1">
      <alignment horizontal="center" vertical="center"/>
    </xf>
    <xf numFmtId="183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5" fillId="5" borderId="1" xfId="0" applyFont="1" applyFill="1" applyBorder="1" applyAlignment="1">
      <alignment horizontal="left" vertical="center"/>
    </xf>
    <xf numFmtId="0" fontId="0" fillId="0" borderId="1" xfId="0" applyBorder="1"/>
    <xf numFmtId="0" fontId="3" fillId="0" borderId="1" xfId="0" applyFont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0" fillId="0" borderId="2" xfId="0" applyBorder="1"/>
    <xf numFmtId="0" fontId="6" fillId="0" borderId="0" xfId="0" applyFont="1" applyAlignment="1">
      <alignment horizontal="center" vertical="center"/>
    </xf>
    <xf numFmtId="184" fontId="4" fillId="0" borderId="1" xfId="0" applyNumberFormat="1" applyFont="1" applyBorder="1" applyAlignment="1">
      <alignment horizontal="right" vertical="center"/>
    </xf>
    <xf numFmtId="185" fontId="4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0" fontId="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0"/>
  <sheetViews>
    <sheetView workbookViewId="0">
      <selection sqref="A1:F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5" width="22" customWidth="1"/>
    <col min="6" max="6" width="26" customWidth="1"/>
  </cols>
  <sheetData>
    <row r="1" spans="1:6" ht="39.950000000000003" customHeight="1" x14ac:dyDescent="0.25">
      <c r="A1" s="49" t="s">
        <v>0</v>
      </c>
      <c r="B1" s="50"/>
      <c r="C1" s="50"/>
      <c r="D1" s="50"/>
      <c r="E1" s="50"/>
      <c r="F1" s="50"/>
    </row>
    <row r="2" spans="1:6" ht="27.9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24.95" customHeight="1" x14ac:dyDescent="0.25">
      <c r="A3" s="51" t="s">
        <v>7</v>
      </c>
      <c r="B3" s="52"/>
      <c r="C3" s="52"/>
      <c r="D3" s="52"/>
      <c r="E3" s="52"/>
      <c r="F3" s="52"/>
    </row>
    <row r="4" spans="1:6" ht="20.100000000000001" customHeight="1" x14ac:dyDescent="0.25">
      <c r="A4" s="3" t="s">
        <v>8</v>
      </c>
      <c r="B4" s="4" t="s">
        <v>9</v>
      </c>
      <c r="C4" s="5">
        <v>1.05</v>
      </c>
      <c r="D4" s="5">
        <v>1.0580000000000001</v>
      </c>
      <c r="E4" s="5">
        <v>1.143</v>
      </c>
      <c r="F4" s="5">
        <v>1.0580000000000001</v>
      </c>
    </row>
    <row r="5" spans="1:6" ht="20.100000000000001" customHeight="1" x14ac:dyDescent="0.25">
      <c r="A5" s="6" t="s">
        <v>10</v>
      </c>
      <c r="B5" s="7" t="s">
        <v>11</v>
      </c>
      <c r="C5" s="8">
        <v>0.1699</v>
      </c>
      <c r="D5" s="8">
        <v>0.1699</v>
      </c>
      <c r="E5" s="8">
        <v>0.23</v>
      </c>
      <c r="F5" s="8">
        <v>0.1699</v>
      </c>
    </row>
    <row r="6" spans="1:6" ht="20.100000000000001" customHeight="1" x14ac:dyDescent="0.25">
      <c r="A6" s="3" t="s">
        <v>12</v>
      </c>
      <c r="B6" s="4" t="s">
        <v>13</v>
      </c>
      <c r="C6" s="5">
        <v>0.8</v>
      </c>
      <c r="D6" s="5">
        <v>0.81</v>
      </c>
      <c r="E6" s="5">
        <v>0.88</v>
      </c>
      <c r="F6" s="5">
        <v>0.81</v>
      </c>
    </row>
    <row r="7" spans="1:6" ht="20.100000000000001" customHeight="1" x14ac:dyDescent="0.25">
      <c r="A7" s="6" t="s">
        <v>14</v>
      </c>
      <c r="B7" s="7" t="s">
        <v>15</v>
      </c>
      <c r="C7" s="9">
        <v>0.155</v>
      </c>
      <c r="D7" s="9">
        <v>0.155</v>
      </c>
      <c r="E7" s="9">
        <v>0.20100000000000001</v>
      </c>
      <c r="F7" s="9">
        <v>0.155</v>
      </c>
    </row>
    <row r="8" spans="1:6" ht="20.100000000000001" customHeight="1" x14ac:dyDescent="0.25">
      <c r="A8" s="3" t="s">
        <v>16</v>
      </c>
      <c r="B8" s="4" t="s">
        <v>17</v>
      </c>
      <c r="C8" s="10">
        <f>C4^2/C5</f>
        <v>6.4891112419070049</v>
      </c>
      <c r="D8" s="10">
        <f>D4^2/D5</f>
        <v>6.588369629193644</v>
      </c>
      <c r="E8" s="10">
        <f>E4^2/E5</f>
        <v>5.6802130434782603</v>
      </c>
      <c r="F8" s="10">
        <f>F4^2/F5</f>
        <v>6.588369629193644</v>
      </c>
    </row>
    <row r="9" spans="1:6" ht="24.95" customHeight="1" x14ac:dyDescent="0.25">
      <c r="A9" s="51" t="s">
        <v>18</v>
      </c>
      <c r="B9" s="52"/>
      <c r="C9" s="52"/>
      <c r="D9" s="52"/>
      <c r="E9" s="52"/>
      <c r="F9" s="52"/>
    </row>
    <row r="10" spans="1:6" ht="20.100000000000001" customHeight="1" x14ac:dyDescent="0.25">
      <c r="A10" s="3" t="s">
        <v>19</v>
      </c>
      <c r="B10" s="4" t="s">
        <v>20</v>
      </c>
      <c r="C10" s="11" t="s">
        <v>21</v>
      </c>
      <c r="D10" s="11" t="s">
        <v>21</v>
      </c>
      <c r="E10" s="11" t="s">
        <v>22</v>
      </c>
      <c r="F10" s="11" t="s">
        <v>23</v>
      </c>
    </row>
    <row r="11" spans="1:6" ht="20.100000000000001" customHeight="1" x14ac:dyDescent="0.25">
      <c r="A11" s="6" t="s">
        <v>19</v>
      </c>
      <c r="B11" s="7" t="s">
        <v>24</v>
      </c>
      <c r="C11" s="12" t="s">
        <v>25</v>
      </c>
      <c r="D11" s="12" t="s">
        <v>25</v>
      </c>
      <c r="E11" s="12" t="s">
        <v>26</v>
      </c>
      <c r="F11" s="12" t="s">
        <v>25</v>
      </c>
    </row>
    <row r="12" spans="1:6" ht="20.100000000000001" customHeight="1" x14ac:dyDescent="0.25">
      <c r="A12" s="3" t="s">
        <v>19</v>
      </c>
      <c r="B12" s="4" t="s">
        <v>27</v>
      </c>
      <c r="C12" s="11" t="s">
        <v>28</v>
      </c>
      <c r="D12" s="11" t="s">
        <v>28</v>
      </c>
      <c r="E12" s="11" t="s">
        <v>29</v>
      </c>
      <c r="F12" s="11" t="s">
        <v>30</v>
      </c>
    </row>
    <row r="13" spans="1:6" ht="20.100000000000001" customHeight="1" x14ac:dyDescent="0.25">
      <c r="A13" s="6" t="s">
        <v>31</v>
      </c>
      <c r="B13" s="7" t="s">
        <v>32</v>
      </c>
      <c r="C13" s="13">
        <v>11.1</v>
      </c>
      <c r="D13" s="13">
        <v>11.1</v>
      </c>
      <c r="E13" s="13">
        <v>11.1</v>
      </c>
      <c r="F13" s="13">
        <v>11.1</v>
      </c>
    </row>
    <row r="14" spans="1:6" ht="20.100000000000001" customHeight="1" x14ac:dyDescent="0.25">
      <c r="A14" s="3" t="s">
        <v>33</v>
      </c>
      <c r="B14" s="4" t="s">
        <v>34</v>
      </c>
      <c r="C14" s="14">
        <v>2.2000000000000002</v>
      </c>
      <c r="D14" s="14">
        <v>2.2000000000000002</v>
      </c>
      <c r="E14" s="14">
        <v>2.2000000000000002</v>
      </c>
      <c r="F14" s="14">
        <v>2.2000000000000002</v>
      </c>
    </row>
    <row r="15" spans="1:6" ht="20.100000000000001" customHeight="1" x14ac:dyDescent="0.25">
      <c r="A15" s="6" t="s">
        <v>35</v>
      </c>
      <c r="B15" s="7" t="s">
        <v>36</v>
      </c>
      <c r="C15" s="15">
        <f>C13*C14</f>
        <v>24.42</v>
      </c>
      <c r="D15" s="15">
        <f>D13*D14</f>
        <v>24.42</v>
      </c>
      <c r="E15" s="15">
        <f>E13*E14</f>
        <v>24.42</v>
      </c>
      <c r="F15" s="15">
        <f>F13*F14</f>
        <v>24.42</v>
      </c>
    </row>
    <row r="16" spans="1:6" ht="20.100000000000001" customHeight="1" x14ac:dyDescent="0.25">
      <c r="A16" s="3" t="s">
        <v>37</v>
      </c>
      <c r="B16" s="4" t="s">
        <v>38</v>
      </c>
      <c r="C16" s="16">
        <v>0.88500000000000001</v>
      </c>
      <c r="D16" s="16">
        <v>0.88500000000000001</v>
      </c>
      <c r="E16" s="16">
        <v>2.218</v>
      </c>
      <c r="F16" s="16">
        <v>1.02</v>
      </c>
    </row>
    <row r="17" spans="1:6" ht="20.100000000000001" customHeight="1" x14ac:dyDescent="0.25">
      <c r="A17" s="6" t="s">
        <v>39</v>
      </c>
      <c r="B17" s="7" t="s">
        <v>40</v>
      </c>
      <c r="C17" s="17">
        <v>10</v>
      </c>
      <c r="D17" s="17">
        <v>10</v>
      </c>
      <c r="E17" s="17">
        <v>20</v>
      </c>
      <c r="F17" s="17">
        <v>17</v>
      </c>
    </row>
    <row r="18" spans="1:6" ht="20.100000000000001" customHeight="1" x14ac:dyDescent="0.25">
      <c r="A18" s="3" t="s">
        <v>41</v>
      </c>
      <c r="B18" s="4" t="s">
        <v>42</v>
      </c>
      <c r="C18" s="18">
        <v>20</v>
      </c>
      <c r="D18" s="18">
        <v>20</v>
      </c>
      <c r="E18" s="18">
        <v>42</v>
      </c>
      <c r="F18" s="18">
        <v>25</v>
      </c>
    </row>
    <row r="19" spans="1:6" ht="20.100000000000001" customHeight="1" x14ac:dyDescent="0.25">
      <c r="A19" s="6" t="s">
        <v>43</v>
      </c>
      <c r="B19" s="7" t="s">
        <v>44</v>
      </c>
      <c r="C19" s="17">
        <v>1.1000000000000001</v>
      </c>
      <c r="D19" s="17">
        <v>1.1000000000000001</v>
      </c>
      <c r="E19" s="17">
        <v>4</v>
      </c>
      <c r="F19" s="17">
        <v>1.1000000000000001</v>
      </c>
    </row>
    <row r="20" spans="1:6" ht="24.95" customHeight="1" x14ac:dyDescent="0.25">
      <c r="A20" s="51" t="s">
        <v>45</v>
      </c>
      <c r="B20" s="52"/>
      <c r="C20" s="52"/>
      <c r="D20" s="52"/>
      <c r="E20" s="52"/>
      <c r="F20" s="52"/>
    </row>
    <row r="21" spans="1:6" ht="20.100000000000001" customHeight="1" x14ac:dyDescent="0.25">
      <c r="A21" s="6" t="s">
        <v>46</v>
      </c>
      <c r="B21" s="7" t="s">
        <v>47</v>
      </c>
      <c r="C21" s="19">
        <v>9.81</v>
      </c>
      <c r="D21" s="19">
        <v>9.81</v>
      </c>
      <c r="E21" s="19">
        <v>9.81</v>
      </c>
      <c r="F21" s="19">
        <v>9.81</v>
      </c>
    </row>
    <row r="22" spans="1:6" ht="20.100000000000001" customHeight="1" x14ac:dyDescent="0.25">
      <c r="A22" s="3" t="s">
        <v>48</v>
      </c>
      <c r="B22" s="4" t="s">
        <v>49</v>
      </c>
      <c r="C22" s="20">
        <v>1.2250000000000001</v>
      </c>
      <c r="D22" s="20">
        <v>1.2250000000000001</v>
      </c>
      <c r="E22" s="20">
        <v>1.2250000000000001</v>
      </c>
      <c r="F22" s="20">
        <v>1.2250000000000001</v>
      </c>
    </row>
    <row r="23" spans="1:6" ht="20.100000000000001" customHeight="1" x14ac:dyDescent="0.25">
      <c r="A23" s="6" t="s">
        <v>50</v>
      </c>
      <c r="B23" s="7" t="s">
        <v>51</v>
      </c>
      <c r="C23" s="21">
        <v>0.9</v>
      </c>
      <c r="D23" s="21">
        <v>0.9</v>
      </c>
      <c r="E23" s="21">
        <v>1.2</v>
      </c>
      <c r="F23" s="21">
        <v>0.9</v>
      </c>
    </row>
    <row r="24" spans="1:6" ht="20.100000000000001" customHeight="1" x14ac:dyDescent="0.25">
      <c r="A24" s="3" t="s">
        <v>52</v>
      </c>
      <c r="B24" s="4" t="s">
        <v>53</v>
      </c>
      <c r="C24" s="10">
        <v>0.9</v>
      </c>
      <c r="D24" s="10">
        <v>0.9</v>
      </c>
      <c r="E24" s="11" t="s">
        <v>54</v>
      </c>
      <c r="F24" s="10">
        <v>0.9</v>
      </c>
    </row>
    <row r="25" spans="1:6" ht="24.95" customHeight="1" x14ac:dyDescent="0.25">
      <c r="A25" s="51" t="s">
        <v>55</v>
      </c>
      <c r="B25" s="52"/>
      <c r="C25" s="52"/>
      <c r="D25" s="52"/>
      <c r="E25" s="52"/>
      <c r="F25" s="52"/>
    </row>
    <row r="26" spans="1:6" ht="20.100000000000001" customHeight="1" x14ac:dyDescent="0.25">
      <c r="A26" s="3" t="s">
        <v>56</v>
      </c>
      <c r="B26" s="4" t="s">
        <v>57</v>
      </c>
      <c r="C26" s="16">
        <f>MATERIALES_USA!E17/1000</f>
        <v>0.58199999999999996</v>
      </c>
      <c r="D26" s="16">
        <f>MATERIALES_USA!J17/1000</f>
        <v>0.64400000000000002</v>
      </c>
      <c r="E26" s="16">
        <f>MATERIALES_USA!O17/1000</f>
        <v>1.6</v>
      </c>
      <c r="F26" s="16">
        <f>MATERIALES_USA!T17/1000</f>
        <v>0.61899999999999999</v>
      </c>
    </row>
    <row r="27" spans="1:6" ht="20.100000000000001" customHeight="1" x14ac:dyDescent="0.25">
      <c r="A27" s="6" t="s">
        <v>58</v>
      </c>
      <c r="B27" s="7" t="s">
        <v>59</v>
      </c>
      <c r="C27" s="22">
        <f>C26*C21</f>
        <v>5.7094199999999997</v>
      </c>
      <c r="D27" s="22">
        <f>D26*D21</f>
        <v>6.3176400000000008</v>
      </c>
      <c r="E27" s="22">
        <f>E26*E21</f>
        <v>15.696000000000002</v>
      </c>
      <c r="F27" s="22">
        <f>F26*F21</f>
        <v>6.0723900000000004</v>
      </c>
    </row>
    <row r="28" spans="1:6" ht="20.100000000000001" customHeight="1" x14ac:dyDescent="0.25">
      <c r="A28" s="3" t="s">
        <v>60</v>
      </c>
      <c r="B28" s="4" t="s">
        <v>61</v>
      </c>
      <c r="C28" s="23">
        <f>SQRT((2*C27)/(C22*C5*C23))</f>
        <v>7.8077339337781284</v>
      </c>
      <c r="D28" s="23">
        <f>SQRT((2*D27)/(D22*D5*D23))</f>
        <v>8.2130874430803118</v>
      </c>
      <c r="E28" s="23">
        <f>SQRT((2*E27)/(E22*E5*E23))</f>
        <v>9.6357807022928696</v>
      </c>
      <c r="F28" s="23">
        <f>SQRT((2*F27)/(F22*F5*F23))</f>
        <v>8.0520940247593575</v>
      </c>
    </row>
    <row r="29" spans="1:6" ht="20.100000000000001" customHeight="1" x14ac:dyDescent="0.25">
      <c r="A29" s="6" t="s">
        <v>62</v>
      </c>
      <c r="B29" s="7" t="s">
        <v>63</v>
      </c>
      <c r="C29" s="24">
        <f>C28*3.6</f>
        <v>28.107842161601262</v>
      </c>
      <c r="D29" s="24">
        <f>D28*3.6</f>
        <v>29.567114795089122</v>
      </c>
      <c r="E29" s="24">
        <f>E28*3.6</f>
        <v>34.688810528254329</v>
      </c>
      <c r="F29" s="24">
        <f>F28*3.6</f>
        <v>28.987538489133687</v>
      </c>
    </row>
    <row r="30" spans="1:6" ht="20.100000000000001" customHeight="1" x14ac:dyDescent="0.25">
      <c r="A30" s="3" t="s">
        <v>64</v>
      </c>
      <c r="B30" s="4" t="s">
        <v>65</v>
      </c>
      <c r="C30" s="23">
        <f>SQRT((2*C27)/(C22*C5*C24))</f>
        <v>7.8077339337781284</v>
      </c>
      <c r="D30" s="23">
        <f>SQRT((2*D27)/(D22*D5*D24))</f>
        <v>8.2130874430803118</v>
      </c>
      <c r="E30" s="23" t="s">
        <v>54</v>
      </c>
      <c r="F30" s="23">
        <f>SQRT((2*F27)/(F22*F5*F24))</f>
        <v>8.0520940247593575</v>
      </c>
    </row>
    <row r="31" spans="1:6" ht="20.100000000000001" customHeight="1" x14ac:dyDescent="0.25">
      <c r="A31" s="6" t="s">
        <v>66</v>
      </c>
      <c r="B31" s="7" t="s">
        <v>67</v>
      </c>
      <c r="C31" s="25">
        <f>C26*10/C5</f>
        <v>34.255444379046494</v>
      </c>
      <c r="D31" s="25">
        <f>D26*10/D5</f>
        <v>37.904649793996469</v>
      </c>
      <c r="E31" s="25">
        <f>E26*10/E5</f>
        <v>69.565217391304344</v>
      </c>
      <c r="F31" s="25">
        <f>F26*10/F5</f>
        <v>36.433195997645669</v>
      </c>
    </row>
    <row r="32" spans="1:6" ht="20.100000000000001" customHeight="1" x14ac:dyDescent="0.25">
      <c r="A32" s="3" t="s">
        <v>68</v>
      </c>
      <c r="B32" s="4" t="s">
        <v>69</v>
      </c>
      <c r="C32" s="10">
        <f>C16/C26</f>
        <v>1.5206185567010311</v>
      </c>
      <c r="D32" s="10">
        <f>D16/D26</f>
        <v>1.3742236024844721</v>
      </c>
      <c r="E32" s="10">
        <f>E16/E26</f>
        <v>1.38625</v>
      </c>
      <c r="F32" s="10">
        <f>F16/F26</f>
        <v>1.6478190630048466</v>
      </c>
    </row>
    <row r="33" spans="1:6" ht="20.100000000000001" customHeight="1" x14ac:dyDescent="0.25">
      <c r="A33" s="6" t="s">
        <v>70</v>
      </c>
      <c r="B33" s="7" t="s">
        <v>71</v>
      </c>
      <c r="C33" s="26">
        <f>(C14/(C17+C19))*60</f>
        <v>11.891891891891893</v>
      </c>
      <c r="D33" s="26">
        <f>(D14/(D17+D19))*60</f>
        <v>11.891891891891893</v>
      </c>
      <c r="E33" s="26">
        <f>(E14/(E17+E19))*60</f>
        <v>5.5</v>
      </c>
      <c r="F33" s="26">
        <f>(F14/(F17+F19))*60</f>
        <v>7.2928176795580111</v>
      </c>
    </row>
    <row r="34" spans="1:6" ht="20.100000000000001" customHeight="1" x14ac:dyDescent="0.25">
      <c r="A34" s="3" t="s">
        <v>72</v>
      </c>
      <c r="B34" s="4" t="s">
        <v>73</v>
      </c>
      <c r="C34" s="27">
        <f>C33*0.7</f>
        <v>8.3243243243243246</v>
      </c>
      <c r="D34" s="27">
        <f>D33*0.7</f>
        <v>8.3243243243243246</v>
      </c>
      <c r="E34" s="27">
        <f>E33*0.7</f>
        <v>3.8499999999999996</v>
      </c>
      <c r="F34" s="27">
        <f>F33*0.7</f>
        <v>5.1049723756906076</v>
      </c>
    </row>
    <row r="35" spans="1:6" ht="20.100000000000001" customHeight="1" x14ac:dyDescent="0.25">
      <c r="A35" s="6" t="s">
        <v>74</v>
      </c>
      <c r="B35" s="7" t="s">
        <v>75</v>
      </c>
      <c r="C35" s="26">
        <f>(C14/(C18+C19))*60</f>
        <v>6.2559241706161144</v>
      </c>
      <c r="D35" s="26">
        <f>(D14/(D18+D19))*60</f>
        <v>6.2559241706161144</v>
      </c>
      <c r="E35" s="26">
        <f>(E14/(E18+E19))*60</f>
        <v>2.8695652173913047</v>
      </c>
      <c r="F35" s="26">
        <f>(F14/(F18+F19))*60</f>
        <v>5.0574712643678161</v>
      </c>
    </row>
    <row r="36" spans="1:6" ht="20.100000000000001" customHeight="1" x14ac:dyDescent="0.25">
      <c r="A36" s="3" t="s">
        <v>76</v>
      </c>
      <c r="B36" s="4" t="s">
        <v>77</v>
      </c>
      <c r="C36" s="27">
        <f>C35*0.7</f>
        <v>4.37914691943128</v>
      </c>
      <c r="D36" s="27">
        <f>D35*0.7</f>
        <v>4.37914691943128</v>
      </c>
      <c r="E36" s="27">
        <f>E35*0.7</f>
        <v>2.008695652173913</v>
      </c>
      <c r="F36" s="27">
        <f>F35*0.7</f>
        <v>3.5402298850574709</v>
      </c>
    </row>
    <row r="37" spans="1:6" ht="20.100000000000001" customHeight="1" x14ac:dyDescent="0.25">
      <c r="A37" s="6" t="s">
        <v>78</v>
      </c>
      <c r="B37" s="7" t="s">
        <v>79</v>
      </c>
      <c r="C37" s="28">
        <f>C13*C17</f>
        <v>111</v>
      </c>
      <c r="D37" s="28">
        <f>D13*D17</f>
        <v>111</v>
      </c>
      <c r="E37" s="28">
        <f>E13*E17</f>
        <v>222</v>
      </c>
      <c r="F37" s="28">
        <f>F13*F17</f>
        <v>188.7</v>
      </c>
    </row>
    <row r="38" spans="1:6" ht="20.100000000000001" customHeight="1" x14ac:dyDescent="0.25">
      <c r="A38" s="3" t="s">
        <v>80</v>
      </c>
      <c r="B38" s="4" t="s">
        <v>81</v>
      </c>
      <c r="C38" s="29">
        <f>C13*C18</f>
        <v>222</v>
      </c>
      <c r="D38" s="29">
        <f>D13*D18</f>
        <v>222</v>
      </c>
      <c r="E38" s="29">
        <f>E13*E18</f>
        <v>466.2</v>
      </c>
      <c r="F38" s="29">
        <f>F13*F18</f>
        <v>277.5</v>
      </c>
    </row>
    <row r="39" spans="1:6" ht="20.100000000000001" customHeight="1" x14ac:dyDescent="0.25">
      <c r="A39" s="6" t="s">
        <v>82</v>
      </c>
      <c r="B39" s="7" t="s">
        <v>83</v>
      </c>
      <c r="C39" s="30">
        <f>1.3*C28</f>
        <v>10.150054113911567</v>
      </c>
      <c r="D39" s="30">
        <f>1.3*D28</f>
        <v>10.677013676004405</v>
      </c>
      <c r="E39" s="30">
        <f>1.3*E28</f>
        <v>12.526514912980732</v>
      </c>
      <c r="F39" s="30">
        <f>1.3*F28</f>
        <v>10.467722232187166</v>
      </c>
    </row>
    <row r="40" spans="1:6" ht="20.100000000000001" customHeight="1" x14ac:dyDescent="0.25">
      <c r="A40" s="31" t="s">
        <v>19</v>
      </c>
      <c r="B40" s="32" t="s">
        <v>84</v>
      </c>
      <c r="C40" s="33">
        <f>MATERIALES_USA!E29</f>
        <v>234.03545706273476</v>
      </c>
      <c r="D40" s="33">
        <f>MATERIALES_USA!J29</f>
        <v>586.61889063299179</v>
      </c>
      <c r="E40" s="33">
        <f>MATERIALES_USA!O29</f>
        <v>1080.1569953614703</v>
      </c>
      <c r="F40" s="33">
        <f>MATERIALES_USA!T29</f>
        <v>593.2433125804688</v>
      </c>
    </row>
  </sheetData>
  <mergeCells count="5">
    <mergeCell ref="A1:F1"/>
    <mergeCell ref="A9:F9"/>
    <mergeCell ref="A3:F3"/>
    <mergeCell ref="A20:F20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9"/>
  <sheetViews>
    <sheetView tabSelected="1" workbookViewId="0">
      <selection activeCell="O37" sqref="O37"/>
    </sheetView>
  </sheetViews>
  <sheetFormatPr baseColWidth="10" defaultColWidth="9.140625" defaultRowHeight="15" x14ac:dyDescent="0.25"/>
  <cols>
    <col min="1" max="1" width="25" customWidth="1"/>
    <col min="2" max="2" width="40" customWidth="1"/>
    <col min="3" max="3" width="10" customWidth="1"/>
    <col min="4" max="5" width="18" customWidth="1"/>
    <col min="6" max="6" width="10" customWidth="1"/>
    <col min="7" max="7" width="18" customWidth="1"/>
    <col min="8" max="8" width="10" customWidth="1"/>
    <col min="9" max="10" width="18" customWidth="1"/>
    <col min="11" max="11" width="10" customWidth="1"/>
    <col min="12" max="12" width="18" customWidth="1"/>
    <col min="13" max="13" width="10" customWidth="1"/>
    <col min="14" max="15" width="18" customWidth="1"/>
    <col min="16" max="16" width="10" customWidth="1"/>
    <col min="17" max="17" width="18" customWidth="1"/>
    <col min="18" max="18" width="10" customWidth="1"/>
    <col min="19" max="20" width="18" customWidth="1"/>
    <col min="21" max="21" width="10" customWidth="1"/>
    <col min="22" max="22" width="18" customWidth="1"/>
    <col min="23" max="23" width="45" customWidth="1"/>
  </cols>
  <sheetData>
    <row r="1" spans="1:23" ht="39.950000000000003" customHeight="1" x14ac:dyDescent="0.25">
      <c r="A1" s="49" t="s">
        <v>85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27.95" customHeight="1" x14ac:dyDescent="0.25">
      <c r="A2" s="1" t="s">
        <v>86</v>
      </c>
      <c r="B2" s="1" t="s">
        <v>87</v>
      </c>
      <c r="C2" s="1" t="s">
        <v>88</v>
      </c>
      <c r="D2" s="1" t="s">
        <v>89</v>
      </c>
      <c r="E2" s="1" t="s">
        <v>90</v>
      </c>
      <c r="F2" s="1" t="s">
        <v>91</v>
      </c>
      <c r="G2" s="1" t="s">
        <v>92</v>
      </c>
      <c r="H2" s="1" t="s">
        <v>93</v>
      </c>
      <c r="I2" s="1" t="s">
        <v>94</v>
      </c>
      <c r="J2" s="1" t="s">
        <v>95</v>
      </c>
      <c r="K2" s="1" t="s">
        <v>96</v>
      </c>
      <c r="L2" s="1" t="s">
        <v>97</v>
      </c>
      <c r="M2" s="1" t="s">
        <v>98</v>
      </c>
      <c r="N2" s="1" t="s">
        <v>99</v>
      </c>
      <c r="O2" s="1" t="s">
        <v>100</v>
      </c>
      <c r="P2" s="1" t="s">
        <v>101</v>
      </c>
      <c r="Q2" s="1" t="s">
        <v>102</v>
      </c>
      <c r="R2" s="1" t="s">
        <v>103</v>
      </c>
      <c r="S2" s="1" t="s">
        <v>104</v>
      </c>
      <c r="T2" s="1" t="s">
        <v>105</v>
      </c>
      <c r="U2" s="1" t="s">
        <v>106</v>
      </c>
      <c r="V2" s="1" t="s">
        <v>107</v>
      </c>
      <c r="W2" s="1" t="s">
        <v>108</v>
      </c>
    </row>
    <row r="3" spans="1:23" ht="20.100000000000001" customHeight="1" x14ac:dyDescent="0.25">
      <c r="A3" s="7" t="s">
        <v>109</v>
      </c>
      <c r="B3" s="7" t="s">
        <v>110</v>
      </c>
      <c r="C3" s="6">
        <v>1</v>
      </c>
      <c r="D3" s="34">
        <v>236</v>
      </c>
      <c r="E3" s="34">
        <f t="shared" ref="E3:E16" si="0">C3*D3</f>
        <v>236</v>
      </c>
      <c r="F3" s="35">
        <v>8</v>
      </c>
      <c r="G3" s="35">
        <f t="shared" ref="G3:G16" si="1">C3*F3</f>
        <v>8</v>
      </c>
      <c r="H3" s="6">
        <v>1</v>
      </c>
      <c r="I3" s="34">
        <v>166.45</v>
      </c>
      <c r="J3" s="34">
        <f t="shared" ref="J3:J16" si="2">H3*I3</f>
        <v>166.45</v>
      </c>
      <c r="K3" s="35">
        <v>8</v>
      </c>
      <c r="L3" s="35">
        <f t="shared" ref="L3:L16" si="3">H3*K3</f>
        <v>8</v>
      </c>
      <c r="M3" s="6">
        <v>1</v>
      </c>
      <c r="N3" s="34">
        <v>600</v>
      </c>
      <c r="O3" s="34">
        <f t="shared" ref="O3:O16" si="4">M3*N3</f>
        <v>600</v>
      </c>
      <c r="P3" s="35">
        <v>260</v>
      </c>
      <c r="Q3" s="35">
        <f t="shared" ref="Q3:Q16" si="5">M3*P3</f>
        <v>260</v>
      </c>
      <c r="R3" s="6">
        <v>1</v>
      </c>
      <c r="S3" s="34">
        <v>166.45</v>
      </c>
      <c r="T3" s="34">
        <f t="shared" ref="T3:T16" si="6">R3*S3</f>
        <v>166.45</v>
      </c>
      <c r="U3" s="35">
        <v>8</v>
      </c>
      <c r="V3" s="35">
        <f t="shared" ref="V3:V16" si="7">R3*U3</f>
        <v>8</v>
      </c>
      <c r="W3" s="7" t="s">
        <v>111</v>
      </c>
    </row>
    <row r="4" spans="1:23" ht="20.100000000000001" customHeight="1" x14ac:dyDescent="0.25">
      <c r="A4" s="4" t="s">
        <v>112</v>
      </c>
      <c r="B4" s="4" t="s">
        <v>113</v>
      </c>
      <c r="C4" s="3">
        <v>1</v>
      </c>
      <c r="D4" s="36">
        <v>50</v>
      </c>
      <c r="E4" s="36">
        <f t="shared" si="0"/>
        <v>50</v>
      </c>
      <c r="F4" s="37">
        <v>12</v>
      </c>
      <c r="G4" s="37">
        <f t="shared" si="1"/>
        <v>12</v>
      </c>
      <c r="H4" s="3">
        <v>1</v>
      </c>
      <c r="I4" s="36">
        <v>50</v>
      </c>
      <c r="J4" s="36">
        <f t="shared" si="2"/>
        <v>50</v>
      </c>
      <c r="K4" s="37">
        <v>12</v>
      </c>
      <c r="L4" s="37">
        <f t="shared" si="3"/>
        <v>12</v>
      </c>
      <c r="M4" s="3">
        <v>1</v>
      </c>
      <c r="N4" s="36">
        <v>172.08</v>
      </c>
      <c r="O4" s="36">
        <f t="shared" si="4"/>
        <v>172.08</v>
      </c>
      <c r="P4" s="37">
        <v>40</v>
      </c>
      <c r="Q4" s="37">
        <f t="shared" si="5"/>
        <v>40</v>
      </c>
      <c r="R4" s="3">
        <v>1</v>
      </c>
      <c r="S4" s="36">
        <v>35</v>
      </c>
      <c r="T4" s="36">
        <f t="shared" si="6"/>
        <v>35</v>
      </c>
      <c r="U4" s="37">
        <v>18</v>
      </c>
      <c r="V4" s="37">
        <f t="shared" si="7"/>
        <v>18</v>
      </c>
      <c r="W4" s="4" t="s">
        <v>114</v>
      </c>
    </row>
    <row r="5" spans="1:23" ht="20.100000000000001" customHeight="1" x14ac:dyDescent="0.25">
      <c r="A5" s="7" t="s">
        <v>115</v>
      </c>
      <c r="B5" s="7" t="s">
        <v>116</v>
      </c>
      <c r="C5" s="6">
        <v>1</v>
      </c>
      <c r="D5" s="34">
        <v>30</v>
      </c>
      <c r="E5" s="34">
        <f t="shared" si="0"/>
        <v>30</v>
      </c>
      <c r="F5" s="35">
        <v>10</v>
      </c>
      <c r="G5" s="35">
        <f t="shared" si="1"/>
        <v>10</v>
      </c>
      <c r="H5" s="6">
        <v>1</v>
      </c>
      <c r="I5" s="34">
        <v>30</v>
      </c>
      <c r="J5" s="34">
        <f t="shared" si="2"/>
        <v>30</v>
      </c>
      <c r="K5" s="35">
        <v>10</v>
      </c>
      <c r="L5" s="35">
        <f t="shared" si="3"/>
        <v>10</v>
      </c>
      <c r="M5" s="6">
        <v>1</v>
      </c>
      <c r="N5" s="34">
        <v>100</v>
      </c>
      <c r="O5" s="34">
        <f t="shared" si="4"/>
        <v>100</v>
      </c>
      <c r="P5" s="35">
        <v>35</v>
      </c>
      <c r="Q5" s="35">
        <f t="shared" si="5"/>
        <v>35</v>
      </c>
      <c r="R5" s="6">
        <v>1</v>
      </c>
      <c r="S5" s="34">
        <v>30</v>
      </c>
      <c r="T5" s="34">
        <f t="shared" si="6"/>
        <v>30</v>
      </c>
      <c r="U5" s="35">
        <v>10</v>
      </c>
      <c r="V5" s="35">
        <f t="shared" si="7"/>
        <v>10</v>
      </c>
      <c r="W5" s="7" t="s">
        <v>117</v>
      </c>
    </row>
    <row r="6" spans="1:23" ht="20.100000000000001" customHeight="1" x14ac:dyDescent="0.25">
      <c r="A6" s="4" t="s">
        <v>118</v>
      </c>
      <c r="B6" s="4" t="s">
        <v>119</v>
      </c>
      <c r="C6" s="3">
        <v>1</v>
      </c>
      <c r="D6" s="36">
        <v>15</v>
      </c>
      <c r="E6" s="36">
        <f t="shared" si="0"/>
        <v>15</v>
      </c>
      <c r="F6" s="37">
        <v>5</v>
      </c>
      <c r="G6" s="37">
        <f t="shared" si="1"/>
        <v>5</v>
      </c>
      <c r="H6" s="3">
        <v>1</v>
      </c>
      <c r="I6" s="36">
        <v>15</v>
      </c>
      <c r="J6" s="36">
        <f t="shared" si="2"/>
        <v>15</v>
      </c>
      <c r="K6" s="37">
        <v>5</v>
      </c>
      <c r="L6" s="37">
        <f t="shared" si="3"/>
        <v>5</v>
      </c>
      <c r="M6" s="3">
        <v>1</v>
      </c>
      <c r="N6" s="36">
        <v>40</v>
      </c>
      <c r="O6" s="36">
        <f t="shared" si="4"/>
        <v>40</v>
      </c>
      <c r="P6" s="37">
        <v>30</v>
      </c>
      <c r="Q6" s="37">
        <f t="shared" si="5"/>
        <v>30</v>
      </c>
      <c r="R6" s="3">
        <v>1</v>
      </c>
      <c r="S6" s="36">
        <v>5</v>
      </c>
      <c r="T6" s="36">
        <f t="shared" si="6"/>
        <v>5</v>
      </c>
      <c r="U6" s="37">
        <v>4</v>
      </c>
      <c r="V6" s="37">
        <f t="shared" si="7"/>
        <v>4</v>
      </c>
      <c r="W6" s="4" t="s">
        <v>120</v>
      </c>
    </row>
    <row r="7" spans="1:23" ht="20.100000000000001" customHeight="1" x14ac:dyDescent="0.25">
      <c r="A7" s="7" t="s">
        <v>121</v>
      </c>
      <c r="B7" s="7" t="s">
        <v>122</v>
      </c>
      <c r="C7" s="6">
        <v>1</v>
      </c>
      <c r="D7" s="34">
        <v>200</v>
      </c>
      <c r="E7" s="34">
        <f t="shared" si="0"/>
        <v>200</v>
      </c>
      <c r="F7" s="35">
        <v>20</v>
      </c>
      <c r="G7" s="35">
        <f t="shared" si="1"/>
        <v>20</v>
      </c>
      <c r="H7" s="6">
        <v>1</v>
      </c>
      <c r="I7" s="34">
        <v>200</v>
      </c>
      <c r="J7" s="34">
        <f t="shared" si="2"/>
        <v>200</v>
      </c>
      <c r="K7" s="35">
        <v>20</v>
      </c>
      <c r="L7" s="35">
        <f t="shared" si="3"/>
        <v>20</v>
      </c>
      <c r="M7" s="6">
        <v>1</v>
      </c>
      <c r="N7" s="34">
        <v>200</v>
      </c>
      <c r="O7" s="34">
        <f t="shared" si="4"/>
        <v>200</v>
      </c>
      <c r="P7" s="35">
        <v>20</v>
      </c>
      <c r="Q7" s="35">
        <f t="shared" si="5"/>
        <v>20</v>
      </c>
      <c r="R7" s="6">
        <v>1</v>
      </c>
      <c r="S7" s="34">
        <v>200</v>
      </c>
      <c r="T7" s="34">
        <f t="shared" si="6"/>
        <v>200</v>
      </c>
      <c r="U7" s="35">
        <v>20</v>
      </c>
      <c r="V7" s="35">
        <f t="shared" si="7"/>
        <v>20</v>
      </c>
      <c r="W7" s="7" t="s">
        <v>123</v>
      </c>
    </row>
    <row r="8" spans="1:23" ht="20.100000000000001" customHeight="1" x14ac:dyDescent="0.25">
      <c r="A8" s="4" t="s">
        <v>124</v>
      </c>
      <c r="B8" s="4" t="s">
        <v>125</v>
      </c>
      <c r="C8" s="3">
        <v>4</v>
      </c>
      <c r="D8" s="36">
        <v>9</v>
      </c>
      <c r="E8" s="36">
        <f t="shared" si="0"/>
        <v>36</v>
      </c>
      <c r="F8" s="37">
        <v>2.5</v>
      </c>
      <c r="G8" s="37">
        <f t="shared" si="1"/>
        <v>10</v>
      </c>
      <c r="H8" s="3">
        <v>4</v>
      </c>
      <c r="I8" s="36">
        <v>9</v>
      </c>
      <c r="J8" s="36">
        <f t="shared" si="2"/>
        <v>36</v>
      </c>
      <c r="K8" s="37">
        <v>2.5</v>
      </c>
      <c r="L8" s="37">
        <f t="shared" si="3"/>
        <v>10</v>
      </c>
      <c r="M8" s="3">
        <v>3</v>
      </c>
      <c r="N8" s="36">
        <v>60</v>
      </c>
      <c r="O8" s="36">
        <f t="shared" si="4"/>
        <v>180</v>
      </c>
      <c r="P8" s="37">
        <v>10</v>
      </c>
      <c r="Q8" s="37">
        <f t="shared" si="5"/>
        <v>30</v>
      </c>
      <c r="R8" s="3">
        <v>4</v>
      </c>
      <c r="S8" s="36">
        <v>9</v>
      </c>
      <c r="T8" s="36">
        <f t="shared" si="6"/>
        <v>36</v>
      </c>
      <c r="U8" s="37">
        <v>2.5</v>
      </c>
      <c r="V8" s="37">
        <f t="shared" si="7"/>
        <v>10</v>
      </c>
      <c r="W8" s="4" t="s">
        <v>126</v>
      </c>
    </row>
    <row r="9" spans="1:23" ht="20.100000000000001" customHeight="1" x14ac:dyDescent="0.25">
      <c r="A9" s="7" t="s">
        <v>127</v>
      </c>
      <c r="B9" s="7" t="s">
        <v>128</v>
      </c>
      <c r="C9" s="6">
        <v>0</v>
      </c>
      <c r="D9" s="34">
        <v>0</v>
      </c>
      <c r="E9" s="34">
        <f t="shared" si="0"/>
        <v>0</v>
      </c>
      <c r="F9" s="35">
        <v>0</v>
      </c>
      <c r="G9" s="35">
        <f t="shared" si="1"/>
        <v>0</v>
      </c>
      <c r="H9" s="6">
        <v>1</v>
      </c>
      <c r="I9" s="34">
        <v>50</v>
      </c>
      <c r="J9" s="34">
        <f t="shared" si="2"/>
        <v>50</v>
      </c>
      <c r="K9" s="35">
        <v>200</v>
      </c>
      <c r="L9" s="35">
        <f t="shared" si="3"/>
        <v>200</v>
      </c>
      <c r="M9" s="6">
        <v>1</v>
      </c>
      <c r="N9" s="34">
        <v>50</v>
      </c>
      <c r="O9" s="34">
        <f t="shared" si="4"/>
        <v>50</v>
      </c>
      <c r="P9" s="35">
        <v>200</v>
      </c>
      <c r="Q9" s="35">
        <f t="shared" si="5"/>
        <v>200</v>
      </c>
      <c r="R9" s="6">
        <v>1</v>
      </c>
      <c r="S9" s="34">
        <v>50</v>
      </c>
      <c r="T9" s="34">
        <f t="shared" si="6"/>
        <v>50</v>
      </c>
      <c r="U9" s="35">
        <v>200</v>
      </c>
      <c r="V9" s="35">
        <f t="shared" si="7"/>
        <v>200</v>
      </c>
      <c r="W9" s="7" t="s">
        <v>129</v>
      </c>
    </row>
    <row r="10" spans="1:23" ht="20.100000000000001" customHeight="1" x14ac:dyDescent="0.25">
      <c r="A10" s="4" t="s">
        <v>130</v>
      </c>
      <c r="B10" s="4" t="s">
        <v>131</v>
      </c>
      <c r="C10" s="3">
        <v>0</v>
      </c>
      <c r="D10" s="36">
        <v>0</v>
      </c>
      <c r="E10" s="36">
        <f t="shared" si="0"/>
        <v>0</v>
      </c>
      <c r="F10" s="37">
        <v>0</v>
      </c>
      <c r="G10" s="37">
        <f t="shared" si="1"/>
        <v>0</v>
      </c>
      <c r="H10" s="3">
        <v>1</v>
      </c>
      <c r="I10" s="36">
        <v>20</v>
      </c>
      <c r="J10" s="36">
        <f t="shared" si="2"/>
        <v>20</v>
      </c>
      <c r="K10" s="37">
        <v>40</v>
      </c>
      <c r="L10" s="37">
        <f t="shared" si="3"/>
        <v>40</v>
      </c>
      <c r="M10" s="3">
        <v>1</v>
      </c>
      <c r="N10" s="36">
        <v>20</v>
      </c>
      <c r="O10" s="36">
        <f t="shared" si="4"/>
        <v>20</v>
      </c>
      <c r="P10" s="37">
        <v>40</v>
      </c>
      <c r="Q10" s="37">
        <f t="shared" si="5"/>
        <v>40</v>
      </c>
      <c r="R10" s="3">
        <v>1</v>
      </c>
      <c r="S10" s="36">
        <v>20</v>
      </c>
      <c r="T10" s="36">
        <f t="shared" si="6"/>
        <v>20</v>
      </c>
      <c r="U10" s="37">
        <v>40</v>
      </c>
      <c r="V10" s="37">
        <f t="shared" si="7"/>
        <v>40</v>
      </c>
      <c r="W10" s="4" t="s">
        <v>132</v>
      </c>
    </row>
    <row r="11" spans="1:23" ht="20.100000000000001" customHeight="1" x14ac:dyDescent="0.25">
      <c r="A11" s="7" t="s">
        <v>133</v>
      </c>
      <c r="B11" s="7" t="s">
        <v>134</v>
      </c>
      <c r="C11" s="6">
        <v>1</v>
      </c>
      <c r="D11" s="34">
        <v>15</v>
      </c>
      <c r="E11" s="34">
        <f t="shared" si="0"/>
        <v>15</v>
      </c>
      <c r="F11" s="35">
        <v>24</v>
      </c>
      <c r="G11" s="35">
        <f t="shared" si="1"/>
        <v>24</v>
      </c>
      <c r="H11" s="6">
        <v>1</v>
      </c>
      <c r="I11" s="34">
        <v>15</v>
      </c>
      <c r="J11" s="34">
        <f t="shared" si="2"/>
        <v>15</v>
      </c>
      <c r="K11" s="35">
        <v>24</v>
      </c>
      <c r="L11" s="35">
        <f t="shared" si="3"/>
        <v>24</v>
      </c>
      <c r="M11" s="6">
        <v>1</v>
      </c>
      <c r="N11" s="34">
        <v>15</v>
      </c>
      <c r="O11" s="34">
        <f t="shared" si="4"/>
        <v>15</v>
      </c>
      <c r="P11" s="35">
        <v>24</v>
      </c>
      <c r="Q11" s="35">
        <f t="shared" si="5"/>
        <v>24</v>
      </c>
      <c r="R11" s="6">
        <v>1</v>
      </c>
      <c r="S11" s="34">
        <v>15</v>
      </c>
      <c r="T11" s="34">
        <f t="shared" si="6"/>
        <v>15</v>
      </c>
      <c r="U11" s="35">
        <v>24</v>
      </c>
      <c r="V11" s="35">
        <f t="shared" si="7"/>
        <v>24</v>
      </c>
      <c r="W11" s="7" t="s">
        <v>135</v>
      </c>
    </row>
    <row r="12" spans="1:23" ht="20.100000000000001" customHeight="1" x14ac:dyDescent="0.25">
      <c r="A12" s="4" t="s">
        <v>136</v>
      </c>
      <c r="B12" s="4" t="s">
        <v>137</v>
      </c>
      <c r="C12" s="3">
        <v>1</v>
      </c>
      <c r="D12" s="36">
        <v>0</v>
      </c>
      <c r="E12" s="36">
        <f t="shared" si="0"/>
        <v>0</v>
      </c>
      <c r="F12" s="37">
        <v>60</v>
      </c>
      <c r="G12" s="37">
        <f t="shared" si="1"/>
        <v>60</v>
      </c>
      <c r="H12" s="3">
        <v>1</v>
      </c>
      <c r="I12" s="36">
        <v>0</v>
      </c>
      <c r="J12" s="36">
        <f t="shared" si="2"/>
        <v>0</v>
      </c>
      <c r="K12" s="37">
        <v>60</v>
      </c>
      <c r="L12" s="37">
        <f t="shared" si="3"/>
        <v>60</v>
      </c>
      <c r="M12" s="3">
        <v>1</v>
      </c>
      <c r="N12" s="36">
        <v>0</v>
      </c>
      <c r="O12" s="36">
        <f t="shared" si="4"/>
        <v>0</v>
      </c>
      <c r="P12" s="37">
        <v>60</v>
      </c>
      <c r="Q12" s="37">
        <f t="shared" si="5"/>
        <v>60</v>
      </c>
      <c r="R12" s="3">
        <v>1</v>
      </c>
      <c r="S12" s="36">
        <v>0</v>
      </c>
      <c r="T12" s="36">
        <f t="shared" si="6"/>
        <v>0</v>
      </c>
      <c r="U12" s="37">
        <v>60</v>
      </c>
      <c r="V12" s="37">
        <f t="shared" si="7"/>
        <v>60</v>
      </c>
      <c r="W12" s="4" t="s">
        <v>135</v>
      </c>
    </row>
    <row r="13" spans="1:23" ht="20.100000000000001" customHeight="1" x14ac:dyDescent="0.25">
      <c r="A13" s="7" t="s">
        <v>138</v>
      </c>
      <c r="B13" s="7" t="s">
        <v>139</v>
      </c>
      <c r="C13" s="6">
        <v>0</v>
      </c>
      <c r="D13" s="34">
        <v>0</v>
      </c>
      <c r="E13" s="34">
        <f t="shared" si="0"/>
        <v>0</v>
      </c>
      <c r="F13" s="35">
        <v>0</v>
      </c>
      <c r="G13" s="35">
        <f t="shared" si="1"/>
        <v>0</v>
      </c>
      <c r="H13" s="6">
        <v>1</v>
      </c>
      <c r="I13" s="34">
        <v>30</v>
      </c>
      <c r="J13" s="34">
        <f t="shared" si="2"/>
        <v>30</v>
      </c>
      <c r="K13" s="35">
        <v>15</v>
      </c>
      <c r="L13" s="35">
        <f t="shared" si="3"/>
        <v>15</v>
      </c>
      <c r="M13" s="6">
        <v>1</v>
      </c>
      <c r="N13" s="34">
        <v>30</v>
      </c>
      <c r="O13" s="34">
        <f t="shared" si="4"/>
        <v>30</v>
      </c>
      <c r="P13" s="35">
        <v>15</v>
      </c>
      <c r="Q13" s="35">
        <f t="shared" si="5"/>
        <v>15</v>
      </c>
      <c r="R13" s="6">
        <v>1</v>
      </c>
      <c r="S13" s="34">
        <v>30</v>
      </c>
      <c r="T13" s="34">
        <f t="shared" si="6"/>
        <v>30</v>
      </c>
      <c r="U13" s="35">
        <v>15</v>
      </c>
      <c r="V13" s="35">
        <f t="shared" si="7"/>
        <v>15</v>
      </c>
      <c r="W13" s="7" t="s">
        <v>140</v>
      </c>
    </row>
    <row r="14" spans="1:23" ht="20.100000000000001" customHeight="1" x14ac:dyDescent="0.25">
      <c r="A14" s="4" t="s">
        <v>141</v>
      </c>
      <c r="B14" s="4" t="s">
        <v>142</v>
      </c>
      <c r="C14" s="3">
        <v>0</v>
      </c>
      <c r="D14" s="36">
        <v>0</v>
      </c>
      <c r="E14" s="36">
        <f t="shared" si="0"/>
        <v>0</v>
      </c>
      <c r="F14" s="37">
        <v>0</v>
      </c>
      <c r="G14" s="37">
        <f t="shared" si="1"/>
        <v>0</v>
      </c>
      <c r="H14" s="3">
        <v>0</v>
      </c>
      <c r="I14" s="36">
        <v>0</v>
      </c>
      <c r="J14" s="36">
        <f t="shared" si="2"/>
        <v>0</v>
      </c>
      <c r="K14" s="37">
        <v>0</v>
      </c>
      <c r="L14" s="37">
        <f t="shared" si="3"/>
        <v>0</v>
      </c>
      <c r="M14" s="3">
        <v>1</v>
      </c>
      <c r="N14" s="36">
        <v>50</v>
      </c>
      <c r="O14" s="36">
        <f t="shared" si="4"/>
        <v>50</v>
      </c>
      <c r="P14" s="37">
        <v>0</v>
      </c>
      <c r="Q14" s="37">
        <f t="shared" si="5"/>
        <v>0</v>
      </c>
      <c r="R14" s="3">
        <v>0</v>
      </c>
      <c r="S14" s="36">
        <v>0</v>
      </c>
      <c r="T14" s="36">
        <f t="shared" si="6"/>
        <v>0</v>
      </c>
      <c r="U14" s="37">
        <v>0</v>
      </c>
      <c r="V14" s="37">
        <f t="shared" si="7"/>
        <v>0</v>
      </c>
      <c r="W14" s="4" t="s">
        <v>143</v>
      </c>
    </row>
    <row r="15" spans="1:23" ht="20.100000000000001" customHeight="1" x14ac:dyDescent="0.25">
      <c r="A15" s="7" t="s">
        <v>144</v>
      </c>
      <c r="B15" s="7" t="s">
        <v>145</v>
      </c>
      <c r="C15" s="6">
        <v>0</v>
      </c>
      <c r="D15" s="34">
        <v>0</v>
      </c>
      <c r="E15" s="34">
        <f t="shared" si="0"/>
        <v>0</v>
      </c>
      <c r="F15" s="35">
        <v>0</v>
      </c>
      <c r="G15" s="35">
        <f t="shared" si="1"/>
        <v>0</v>
      </c>
      <c r="H15" s="6">
        <v>0</v>
      </c>
      <c r="I15" s="34">
        <v>0</v>
      </c>
      <c r="J15" s="34">
        <f t="shared" si="2"/>
        <v>0</v>
      </c>
      <c r="K15" s="35">
        <v>0</v>
      </c>
      <c r="L15" s="35">
        <f t="shared" si="3"/>
        <v>0</v>
      </c>
      <c r="M15" s="6">
        <v>1</v>
      </c>
      <c r="N15" s="34">
        <v>80</v>
      </c>
      <c r="O15" s="34">
        <f t="shared" si="4"/>
        <v>80</v>
      </c>
      <c r="P15" s="35">
        <v>0</v>
      </c>
      <c r="Q15" s="35">
        <f t="shared" si="5"/>
        <v>0</v>
      </c>
      <c r="R15" s="6">
        <v>0</v>
      </c>
      <c r="S15" s="34">
        <v>0</v>
      </c>
      <c r="T15" s="34">
        <f t="shared" si="6"/>
        <v>0</v>
      </c>
      <c r="U15" s="35">
        <v>0</v>
      </c>
      <c r="V15" s="35">
        <f t="shared" si="7"/>
        <v>0</v>
      </c>
      <c r="W15" s="7" t="s">
        <v>143</v>
      </c>
    </row>
    <row r="16" spans="1:23" ht="20.100000000000001" customHeight="1" x14ac:dyDescent="0.25">
      <c r="A16" s="4" t="s">
        <v>146</v>
      </c>
      <c r="B16" s="4" t="s">
        <v>147</v>
      </c>
      <c r="C16" s="3">
        <v>1</v>
      </c>
      <c r="D16" s="36">
        <v>0</v>
      </c>
      <c r="E16" s="36">
        <f t="shared" si="0"/>
        <v>0</v>
      </c>
      <c r="F16" s="37">
        <v>0</v>
      </c>
      <c r="G16" s="37">
        <f t="shared" si="1"/>
        <v>0</v>
      </c>
      <c r="H16" s="3">
        <v>1</v>
      </c>
      <c r="I16" s="36">
        <v>31.55</v>
      </c>
      <c r="J16" s="36">
        <f t="shared" si="2"/>
        <v>31.55</v>
      </c>
      <c r="K16" s="37">
        <v>0</v>
      </c>
      <c r="L16" s="37">
        <f t="shared" si="3"/>
        <v>0</v>
      </c>
      <c r="M16" s="3">
        <v>1</v>
      </c>
      <c r="N16" s="36">
        <v>62.92</v>
      </c>
      <c r="O16" s="36">
        <f t="shared" si="4"/>
        <v>62.92</v>
      </c>
      <c r="P16" s="37">
        <v>0</v>
      </c>
      <c r="Q16" s="37">
        <f t="shared" si="5"/>
        <v>0</v>
      </c>
      <c r="R16" s="3">
        <v>1</v>
      </c>
      <c r="S16" s="36">
        <v>272.55</v>
      </c>
      <c r="T16" s="36">
        <v>31.55</v>
      </c>
      <c r="U16" s="37">
        <v>0</v>
      </c>
      <c r="V16" s="37">
        <f t="shared" si="7"/>
        <v>0</v>
      </c>
      <c r="W16" s="4" t="s">
        <v>148</v>
      </c>
    </row>
    <row r="17" spans="1:23" ht="21.95" customHeight="1" x14ac:dyDescent="0.25">
      <c r="A17" s="38" t="s">
        <v>149</v>
      </c>
      <c r="B17" s="39"/>
      <c r="C17" s="39"/>
      <c r="D17" s="39"/>
      <c r="E17" s="40">
        <f>SUM(E3:E16)</f>
        <v>582</v>
      </c>
      <c r="F17" s="39"/>
      <c r="G17" s="41">
        <f>SUM(G3:G16)</f>
        <v>149</v>
      </c>
      <c r="H17" s="39"/>
      <c r="I17" s="39"/>
      <c r="J17" s="40">
        <f>SUM(J3:J16)</f>
        <v>644</v>
      </c>
      <c r="K17" s="39"/>
      <c r="L17" s="41">
        <f>SUM(L3:L16)</f>
        <v>404</v>
      </c>
      <c r="M17" s="39"/>
      <c r="N17" s="39"/>
      <c r="O17" s="40">
        <f>SUM(O3:O16)</f>
        <v>1600</v>
      </c>
      <c r="P17" s="39"/>
      <c r="Q17" s="41">
        <f>SUM(Q3:Q16)</f>
        <v>754</v>
      </c>
      <c r="R17" s="39"/>
      <c r="S17" s="39"/>
      <c r="T17" s="40">
        <f>SUM(T3:T16)</f>
        <v>619</v>
      </c>
      <c r="U17" s="39"/>
      <c r="V17" s="41">
        <f>SUM(V3:V16)</f>
        <v>409</v>
      </c>
      <c r="W17" s="39"/>
    </row>
    <row r="19" spans="1:23" ht="24.95" customHeight="1" x14ac:dyDescent="0.25">
      <c r="A19" s="54" t="s">
        <v>150</v>
      </c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</row>
    <row r="20" spans="1:23" ht="21.95" customHeight="1" x14ac:dyDescent="0.25">
      <c r="A20" s="53" t="s">
        <v>151</v>
      </c>
      <c r="B20" s="52"/>
      <c r="C20" s="52"/>
      <c r="D20" s="52"/>
      <c r="E20" s="35">
        <v>5</v>
      </c>
      <c r="F20" s="2"/>
      <c r="G20" s="2"/>
      <c r="H20" s="2"/>
      <c r="I20" s="2"/>
      <c r="J20" s="35">
        <v>5</v>
      </c>
      <c r="K20" s="2"/>
      <c r="L20" s="2"/>
      <c r="M20" s="2"/>
      <c r="N20" s="2"/>
      <c r="O20" s="35">
        <v>5</v>
      </c>
      <c r="P20" s="2"/>
      <c r="Q20" s="2"/>
      <c r="R20" s="2"/>
      <c r="S20" s="2"/>
      <c r="T20" s="35">
        <v>5</v>
      </c>
      <c r="U20" s="2"/>
      <c r="V20" s="2"/>
    </row>
    <row r="21" spans="1:23" ht="21.95" customHeight="1" x14ac:dyDescent="0.25">
      <c r="A21" s="53" t="s">
        <v>152</v>
      </c>
      <c r="B21" s="52"/>
      <c r="C21" s="52"/>
      <c r="D21" s="52"/>
      <c r="E21" s="42">
        <f>E17/453.592</f>
        <v>1.2830914125469586</v>
      </c>
      <c r="F21" s="2"/>
      <c r="G21" s="2"/>
      <c r="H21" s="2"/>
      <c r="I21" s="2"/>
      <c r="J21" s="42">
        <f>J17/453.592</f>
        <v>1.4197781265983527</v>
      </c>
      <c r="K21" s="2"/>
      <c r="L21" s="2"/>
      <c r="M21" s="2"/>
      <c r="N21" s="2"/>
      <c r="O21" s="42">
        <f>O17/453.592</f>
        <v>3.527399072294044</v>
      </c>
      <c r="P21" s="2"/>
      <c r="Q21" s="2"/>
      <c r="R21" s="2"/>
      <c r="S21" s="2"/>
      <c r="T21" s="42">
        <f>T17/453.592</f>
        <v>1.3646625160937582</v>
      </c>
      <c r="U21" s="2"/>
      <c r="V21" s="2"/>
    </row>
    <row r="22" spans="1:23" ht="21.95" customHeight="1" x14ac:dyDescent="0.25">
      <c r="A22" s="53" t="s">
        <v>153</v>
      </c>
      <c r="B22" s="52"/>
      <c r="C22" s="52"/>
      <c r="D22" s="52"/>
      <c r="E22" s="35">
        <f>E21*E20</f>
        <v>6.4154570627347933</v>
      </c>
      <c r="F22" s="2"/>
      <c r="G22" s="2"/>
      <c r="H22" s="2"/>
      <c r="I22" s="2"/>
      <c r="J22" s="35">
        <f>J21*J20</f>
        <v>7.0988906329917629</v>
      </c>
      <c r="K22" s="2"/>
      <c r="L22" s="2"/>
      <c r="M22" s="2"/>
      <c r="N22" s="2"/>
      <c r="O22" s="35">
        <f>O21*O20</f>
        <v>17.63699536147022</v>
      </c>
      <c r="P22" s="2"/>
      <c r="Q22" s="2"/>
      <c r="R22" s="2"/>
      <c r="S22" s="2"/>
      <c r="T22" s="35">
        <f>T21*T20</f>
        <v>6.8233125804687909</v>
      </c>
      <c r="U22" s="2"/>
      <c r="V22" s="2"/>
    </row>
    <row r="23" spans="1:23" ht="21.95" customHeight="1" x14ac:dyDescent="0.25">
      <c r="A23" s="53" t="s">
        <v>154</v>
      </c>
      <c r="B23" s="52"/>
      <c r="C23" s="52"/>
      <c r="D23" s="52"/>
      <c r="E23" s="35">
        <f>G17</f>
        <v>149</v>
      </c>
      <c r="F23" s="2"/>
      <c r="G23" s="2"/>
      <c r="H23" s="2"/>
      <c r="I23" s="2"/>
      <c r="J23" s="35">
        <f>L17</f>
        <v>404</v>
      </c>
      <c r="K23" s="2"/>
      <c r="L23" s="2"/>
      <c r="M23" s="2"/>
      <c r="N23" s="2"/>
      <c r="O23" s="35">
        <f>Q17</f>
        <v>754</v>
      </c>
      <c r="P23" s="2"/>
      <c r="Q23" s="2"/>
      <c r="R23" s="2"/>
      <c r="S23" s="2"/>
      <c r="T23" s="35">
        <f>V17</f>
        <v>409</v>
      </c>
      <c r="U23" s="2"/>
      <c r="V23" s="2"/>
    </row>
    <row r="24" spans="1:23" ht="21.95" customHeight="1" x14ac:dyDescent="0.25">
      <c r="A24" s="53" t="s">
        <v>155</v>
      </c>
      <c r="B24" s="52"/>
      <c r="C24" s="52"/>
      <c r="D24" s="52"/>
      <c r="E24" s="35">
        <f>E23*0.12</f>
        <v>17.88</v>
      </c>
      <c r="F24" s="2"/>
      <c r="G24" s="2"/>
      <c r="H24" s="2"/>
      <c r="I24" s="2"/>
      <c r="J24" s="35">
        <f>J23*0.12</f>
        <v>48.48</v>
      </c>
      <c r="K24" s="2"/>
      <c r="L24" s="2"/>
      <c r="M24" s="2"/>
      <c r="N24" s="2"/>
      <c r="O24" s="35">
        <f>O23*0.12</f>
        <v>90.47999999999999</v>
      </c>
      <c r="P24" s="2"/>
      <c r="Q24" s="2"/>
      <c r="R24" s="2"/>
      <c r="S24" s="2"/>
      <c r="T24" s="35">
        <f>T23*0.12</f>
        <v>49.08</v>
      </c>
      <c r="U24" s="2"/>
      <c r="V24" s="2"/>
    </row>
    <row r="25" spans="1:23" ht="21.95" customHeight="1" x14ac:dyDescent="0.25">
      <c r="A25" s="53" t="s">
        <v>156</v>
      </c>
      <c r="B25" s="52"/>
      <c r="C25" s="52"/>
      <c r="D25" s="52"/>
      <c r="E25" s="35">
        <f>E23*0.06</f>
        <v>8.94</v>
      </c>
      <c r="F25" s="2"/>
      <c r="G25" s="2"/>
      <c r="H25" s="2"/>
      <c r="I25" s="2"/>
      <c r="J25" s="35">
        <f>J23*0.06</f>
        <v>24.24</v>
      </c>
      <c r="K25" s="2"/>
      <c r="L25" s="2"/>
      <c r="M25" s="2"/>
      <c r="N25" s="2"/>
      <c r="O25" s="35">
        <f>O23*0.06</f>
        <v>45.239999999999995</v>
      </c>
      <c r="P25" s="2"/>
      <c r="Q25" s="2"/>
      <c r="R25" s="2"/>
      <c r="S25" s="2"/>
      <c r="T25" s="35">
        <f>T23*0.06</f>
        <v>24.54</v>
      </c>
      <c r="U25" s="2"/>
      <c r="V25" s="2"/>
    </row>
    <row r="26" spans="1:23" ht="21.95" customHeight="1" x14ac:dyDescent="0.25">
      <c r="A26" s="53" t="s">
        <v>157</v>
      </c>
      <c r="B26" s="52"/>
      <c r="C26" s="52"/>
      <c r="D26" s="52"/>
      <c r="E26" s="35">
        <f>E23*0.15</f>
        <v>22.349999999999998</v>
      </c>
      <c r="F26" s="2"/>
      <c r="G26" s="2"/>
      <c r="H26" s="2"/>
      <c r="I26" s="2"/>
      <c r="J26" s="35">
        <f>J23*0.15</f>
        <v>60.599999999999994</v>
      </c>
      <c r="K26" s="2"/>
      <c r="L26" s="2"/>
      <c r="M26" s="2"/>
      <c r="N26" s="2"/>
      <c r="O26" s="35">
        <f>O23*0.15</f>
        <v>113.1</v>
      </c>
      <c r="P26" s="2"/>
      <c r="Q26" s="2"/>
      <c r="R26" s="2"/>
      <c r="S26" s="2"/>
      <c r="T26" s="35">
        <f>T23*0.15</f>
        <v>61.349999999999994</v>
      </c>
      <c r="U26" s="2"/>
      <c r="V26" s="2"/>
    </row>
    <row r="27" spans="1:23" ht="21.95" customHeight="1" x14ac:dyDescent="0.25">
      <c r="A27" s="53" t="s">
        <v>158</v>
      </c>
      <c r="B27" s="52"/>
      <c r="C27" s="52"/>
      <c r="D27" s="52"/>
      <c r="E27" s="35">
        <f>E23*0.05 + 2</f>
        <v>9.4499999999999993</v>
      </c>
      <c r="F27" s="2"/>
      <c r="G27" s="2"/>
      <c r="H27" s="2"/>
      <c r="I27" s="2"/>
      <c r="J27" s="35">
        <f>J23*0.05 + 2</f>
        <v>22.200000000000003</v>
      </c>
      <c r="K27" s="2"/>
      <c r="L27" s="2"/>
      <c r="M27" s="2"/>
      <c r="N27" s="2"/>
      <c r="O27" s="35">
        <f>O23*0.05 + 2</f>
        <v>39.700000000000003</v>
      </c>
      <c r="P27" s="2"/>
      <c r="Q27" s="2"/>
      <c r="R27" s="2"/>
      <c r="S27" s="2"/>
      <c r="T27" s="35">
        <f>T23*0.05 + 2</f>
        <v>22.450000000000003</v>
      </c>
      <c r="U27" s="2"/>
      <c r="V27" s="2"/>
    </row>
    <row r="28" spans="1:23" ht="21.95" customHeight="1" x14ac:dyDescent="0.25">
      <c r="A28" s="53" t="s">
        <v>159</v>
      </c>
      <c r="B28" s="52"/>
      <c r="C28" s="52"/>
      <c r="D28" s="52"/>
      <c r="E28" s="35">
        <v>20</v>
      </c>
      <c r="F28" s="2"/>
      <c r="G28" s="2"/>
      <c r="H28" s="2"/>
      <c r="I28" s="2"/>
      <c r="J28" s="35">
        <v>20</v>
      </c>
      <c r="K28" s="2"/>
      <c r="L28" s="2"/>
      <c r="M28" s="2"/>
      <c r="N28" s="2"/>
      <c r="O28" s="35">
        <v>20</v>
      </c>
      <c r="P28" s="2"/>
      <c r="Q28" s="2"/>
      <c r="R28" s="2"/>
      <c r="S28" s="2"/>
      <c r="T28" s="35">
        <v>20</v>
      </c>
      <c r="U28" s="2"/>
      <c r="V28" s="2"/>
    </row>
    <row r="29" spans="1:23" ht="21.95" customHeight="1" x14ac:dyDescent="0.25">
      <c r="A29" s="55" t="s">
        <v>160</v>
      </c>
      <c r="B29" s="56"/>
      <c r="C29" s="56"/>
      <c r="D29" s="56"/>
      <c r="E29" s="33">
        <f>SUM(E22,E23,E24,E25,E26,E27,E28)</f>
        <v>234.03545706273476</v>
      </c>
      <c r="F29" s="39"/>
      <c r="G29" s="39"/>
      <c r="H29" s="39"/>
      <c r="I29" s="39"/>
      <c r="J29" s="33">
        <f>SUM(J22,J23,J24,J25,J26,J27,J28)</f>
        <v>586.61889063299179</v>
      </c>
      <c r="K29" s="39"/>
      <c r="L29" s="39"/>
      <c r="M29" s="39"/>
      <c r="N29" s="39"/>
      <c r="O29" s="33">
        <f>SUM(O22,O23,O24,O25,O26,O27,O28)</f>
        <v>1080.1569953614703</v>
      </c>
      <c r="P29" s="39"/>
      <c r="Q29" s="39"/>
      <c r="R29" s="39"/>
      <c r="S29" s="39"/>
      <c r="T29" s="33">
        <f>SUM(T22,T23,T24,T25,T26,T27,T28)</f>
        <v>593.2433125804688</v>
      </c>
      <c r="U29" s="39"/>
      <c r="V29" s="39"/>
    </row>
  </sheetData>
  <mergeCells count="12">
    <mergeCell ref="A29:D29"/>
    <mergeCell ref="A25:D25"/>
    <mergeCell ref="A24:D24"/>
    <mergeCell ref="A28:D28"/>
    <mergeCell ref="A23:D23"/>
    <mergeCell ref="A1:W1"/>
    <mergeCell ref="A27:D27"/>
    <mergeCell ref="A19:V19"/>
    <mergeCell ref="A22:D22"/>
    <mergeCell ref="A20:D20"/>
    <mergeCell ref="A21:D21"/>
    <mergeCell ref="A26:D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workbookViewId="0"/>
  </sheetViews>
  <sheetFormatPr baseColWidth="10" defaultColWidth="9.140625" defaultRowHeight="15" x14ac:dyDescent="0.25"/>
  <cols>
    <col min="1" max="5" width="28" customWidth="1"/>
  </cols>
  <sheetData>
    <row r="1" spans="1:5" ht="39.950000000000003" customHeight="1" x14ac:dyDescent="0.25">
      <c r="A1" s="49" t="s">
        <v>161</v>
      </c>
      <c r="B1" s="50"/>
      <c r="C1" s="50"/>
      <c r="D1" s="50"/>
      <c r="E1" s="50"/>
    </row>
    <row r="2" spans="1:5" ht="20.100000000000001" customHeight="1" x14ac:dyDescent="0.25">
      <c r="A2" s="57" t="s">
        <v>162</v>
      </c>
      <c r="B2" s="50"/>
      <c r="C2" s="50"/>
      <c r="D2" s="50"/>
      <c r="E2" s="50"/>
    </row>
    <row r="3" spans="1:5" ht="27.95" customHeight="1" x14ac:dyDescent="0.25">
      <c r="A3" s="1" t="s">
        <v>163</v>
      </c>
      <c r="B3" s="1" t="s">
        <v>164</v>
      </c>
      <c r="C3" s="1" t="s">
        <v>165</v>
      </c>
      <c r="D3" s="1" t="s">
        <v>166</v>
      </c>
      <c r="E3" s="1" t="s">
        <v>167</v>
      </c>
    </row>
    <row r="4" spans="1:5" ht="20.100000000000001" customHeight="1" x14ac:dyDescent="0.25">
      <c r="A4" s="43">
        <v>0</v>
      </c>
      <c r="B4" s="44">
        <v>8.0000000000000002E-3</v>
      </c>
      <c r="C4" s="44">
        <v>0.155</v>
      </c>
      <c r="D4" s="44">
        <v>5.7000000000000002E-2</v>
      </c>
      <c r="E4" s="10">
        <f>B4/C4</f>
        <v>5.1612903225806452E-2</v>
      </c>
    </row>
    <row r="5" spans="1:5" ht="20.100000000000001" customHeight="1" x14ac:dyDescent="0.25">
      <c r="A5" s="45">
        <v>5</v>
      </c>
      <c r="B5" s="46">
        <v>0.245</v>
      </c>
      <c r="C5" s="46">
        <v>0.104</v>
      </c>
      <c r="D5" s="46">
        <v>3.9E-2</v>
      </c>
      <c r="E5" s="21">
        <f>B5/C5</f>
        <v>2.3557692307692308</v>
      </c>
    </row>
    <row r="6" spans="1:5" ht="20.100000000000001" customHeight="1" x14ac:dyDescent="0.25">
      <c r="A6" s="43">
        <v>10</v>
      </c>
      <c r="B6" s="44">
        <v>0.45900000000000002</v>
      </c>
      <c r="C6" s="44">
        <v>0.128</v>
      </c>
      <c r="D6" s="44">
        <v>0.107</v>
      </c>
      <c r="E6" s="10">
        <f>B6/C6</f>
        <v>3.5859375</v>
      </c>
    </row>
    <row r="7" spans="1:5" ht="20.100000000000001" customHeight="1" x14ac:dyDescent="0.25">
      <c r="A7" s="45">
        <v>15</v>
      </c>
      <c r="B7" s="46">
        <v>0.71899999999999997</v>
      </c>
      <c r="C7" s="46">
        <v>0.24399999999999999</v>
      </c>
      <c r="D7" s="46">
        <v>0.11899999999999999</v>
      </c>
      <c r="E7" s="21">
        <f>B7/C7</f>
        <v>2.9467213114754096</v>
      </c>
    </row>
    <row r="8" spans="1:5" ht="20.100000000000001" customHeight="1" x14ac:dyDescent="0.25">
      <c r="A8" s="43">
        <v>20</v>
      </c>
      <c r="B8" s="44">
        <v>0.9</v>
      </c>
      <c r="C8" s="44">
        <v>0.36699999999999999</v>
      </c>
      <c r="D8" s="44">
        <v>0.17399999999999999</v>
      </c>
      <c r="E8" s="10">
        <f>B8/C8</f>
        <v>2.4523160762942782</v>
      </c>
    </row>
    <row r="10" spans="1:5" ht="24.95" customHeight="1" x14ac:dyDescent="0.25">
      <c r="A10" s="54" t="s">
        <v>168</v>
      </c>
      <c r="B10" s="50"/>
      <c r="C10" s="50"/>
      <c r="D10" s="50"/>
      <c r="E10" s="50"/>
    </row>
    <row r="11" spans="1:5" ht="21.95" customHeight="1" x14ac:dyDescent="0.25">
      <c r="A11" s="53" t="s">
        <v>169</v>
      </c>
      <c r="B11" s="52"/>
      <c r="C11" s="47" t="s">
        <v>170</v>
      </c>
      <c r="D11" s="58">
        <v>2.71</v>
      </c>
      <c r="E11" s="52"/>
    </row>
    <row r="12" spans="1:5" ht="21.95" customHeight="1" x14ac:dyDescent="0.25">
      <c r="A12" s="53" t="s">
        <v>171</v>
      </c>
      <c r="B12" s="52"/>
      <c r="C12" s="47" t="s">
        <v>172</v>
      </c>
      <c r="D12" s="58">
        <v>-0.20499999999999999</v>
      </c>
      <c r="E12" s="52"/>
    </row>
    <row r="13" spans="1:5" ht="21.95" customHeight="1" x14ac:dyDescent="0.25">
      <c r="A13" s="61" t="s">
        <v>173</v>
      </c>
      <c r="B13" s="56"/>
      <c r="C13" s="48" t="s">
        <v>174</v>
      </c>
      <c r="D13" s="59" t="e">
        <f>-B12/B11</f>
        <v>#DIV/0!</v>
      </c>
      <c r="E13" s="60"/>
    </row>
  </sheetData>
  <mergeCells count="9">
    <mergeCell ref="A1:E1"/>
    <mergeCell ref="D12:E12"/>
    <mergeCell ref="A12:B12"/>
    <mergeCell ref="A2:E2"/>
    <mergeCell ref="D11:E11"/>
    <mergeCell ref="A11:B11"/>
    <mergeCell ref="A10:E10"/>
    <mergeCell ref="D13:E13"/>
    <mergeCell ref="A13:B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DESEMPENO_UAV</vt:lpstr>
      <vt:lpstr>MATERIALES_USA</vt:lpstr>
      <vt:lpstr>AERODINAMICA_CFD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Steven Ignacio Martinez Jara</cp:lastModifiedBy>
  <dcterms:created xsi:type="dcterms:W3CDTF">2026-07-05T00:42:49Z</dcterms:created>
  <dcterms:modified xsi:type="dcterms:W3CDTF">2026-07-05T01:03:16Z</dcterms:modified>
</cp:coreProperties>
</file>