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EMPENO_UAV" sheetId="1" state="visible" r:id="rId1"/>
    <sheet name="MATERIALES_USA" sheetId="2" state="visible" r:id="rId2"/>
    <sheet name="AERODINAMICA_C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0.00&quot; g&quot;"/>
    <numFmt numFmtId="165" formatCode="&quot;$&quot;#,##0.00"/>
    <numFmt numFmtId="166" formatCode="0.00&quot; lbs&quot;"/>
    <numFmt numFmtId="167" formatCode="0.000&quot; m&quot;"/>
    <numFmt numFmtId="168" formatCode="0.0000&quot; m²&quot;"/>
    <numFmt numFmtId="169" formatCode="0.0&quot; V&quot;"/>
    <numFmt numFmtId="170" formatCode="0.0&quot; Ah&quot;"/>
    <numFmt numFmtId="171" formatCode="0.00&quot; Wh&quot;"/>
    <numFmt numFmtId="172" formatCode="0.000&quot; kg&quot;"/>
    <numFmt numFmtId="173" formatCode="0.0&quot; A&quot;"/>
    <numFmt numFmtId="174" formatCode="0.00&quot; m/s²&quot;"/>
    <numFmt numFmtId="175" formatCode="0.000&quot; kg/m³&quot;"/>
    <numFmt numFmtId="176" formatCode="0.00&quot; N&quot;"/>
    <numFmt numFmtId="177" formatCode="0.00&quot; m/s&quot;"/>
    <numFmt numFmtId="178" formatCode="0.00&quot; km/h&quot;"/>
    <numFmt numFmtId="179" formatCode="0.0&quot; g/dm²&quot;"/>
    <numFmt numFmtId="180" formatCode="0.0&quot; min&quot;"/>
    <numFmt numFmtId="181" formatCode="0.0&quot; W&quot;"/>
    <numFmt numFmtId="182" formatCode="0&quot;°&quot;"/>
    <numFmt numFmtId="183" formatCode="0.000"/>
    <numFmt numFmtId="184" formatCode="0.000&quot; rad⁻¹&quot;"/>
    <numFmt numFmtId="18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F4E7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7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8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9" fontId="3" fillId="0" borderId="1" applyAlignment="1" pivotButton="0" quotePrefix="0" xfId="0">
      <alignment horizontal="right" vertical="center"/>
    </xf>
    <xf numFmtId="170" fontId="3" fillId="4" borderId="1" applyAlignment="1" pivotButton="0" quotePrefix="0" xfId="0">
      <alignment horizontal="right" vertical="center"/>
    </xf>
    <xf numFmtId="171" fontId="3" fillId="0" borderId="1" applyAlignment="1" pivotButton="0" quotePrefix="0" xfId="0">
      <alignment horizontal="right" vertical="center"/>
    </xf>
    <xf numFmtId="172" fontId="3" fillId="4" borderId="1" applyAlignment="1" pivotButton="0" quotePrefix="0" xfId="0">
      <alignment horizontal="right" vertical="center"/>
    </xf>
    <xf numFmtId="173" fontId="3" fillId="0" borderId="1" applyAlignment="1" pivotButton="0" quotePrefix="0" xfId="0">
      <alignment horizontal="right" vertical="center"/>
    </xf>
    <xf numFmtId="173" fontId="3" fillId="4" borderId="1" applyAlignment="1" pivotButton="0" quotePrefix="0" xfId="0">
      <alignment horizontal="right" vertical="center"/>
    </xf>
    <xf numFmtId="174" fontId="3" fillId="0" borderId="1" applyAlignment="1" pivotButton="0" quotePrefix="0" xfId="0">
      <alignment horizontal="right" vertical="center"/>
    </xf>
    <xf numFmtId="175" fontId="3" fillId="4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76" fontId="3" fillId="0" borderId="1" applyAlignment="1" pivotButton="0" quotePrefix="0" xfId="0">
      <alignment horizontal="right" vertical="center"/>
    </xf>
    <xf numFmtId="177" fontId="3" fillId="4" borderId="1" applyAlignment="1" pivotButton="0" quotePrefix="0" xfId="0">
      <alignment horizontal="right" vertical="center"/>
    </xf>
    <xf numFmtId="178" fontId="3" fillId="0" borderId="1" applyAlignment="1" pivotButton="0" quotePrefix="0" xfId="0">
      <alignment horizontal="right" vertical="center"/>
    </xf>
    <xf numFmtId="179" fontId="3" fillId="0" borderId="1" applyAlignment="1" pivotButton="0" quotePrefix="0" xfId="0">
      <alignment horizontal="right" vertical="center"/>
    </xf>
    <xf numFmtId="180" fontId="3" fillId="0" borderId="1" applyAlignment="1" pivotButton="0" quotePrefix="0" xfId="0">
      <alignment horizontal="right" vertical="center"/>
    </xf>
    <xf numFmtId="180" fontId="3" fillId="4" borderId="1" applyAlignment="1" pivotButton="0" quotePrefix="0" xfId="0">
      <alignment horizontal="right" vertical="center"/>
    </xf>
    <xf numFmtId="181" fontId="3" fillId="0" borderId="1" applyAlignment="1" pivotButton="0" quotePrefix="0" xfId="0">
      <alignment horizontal="right" vertical="center"/>
    </xf>
    <xf numFmtId="181" fontId="3" fillId="4" borderId="1" applyAlignment="1" pivotButton="0" quotePrefix="0" xfId="0">
      <alignment horizontal="right" vertical="center"/>
    </xf>
    <xf numFmtId="177" fontId="3" fillId="0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65" fontId="4" fillId="6" borderId="2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82" fontId="3" fillId="4" borderId="1" applyAlignment="1" pivotButton="0" quotePrefix="0" xfId="0">
      <alignment horizontal="center" vertical="center"/>
    </xf>
    <xf numFmtId="183" fontId="3" fillId="4" borderId="1" applyAlignment="1" pivotButton="0" quotePrefix="0" xfId="0">
      <alignment horizontal="right" vertical="center"/>
    </xf>
    <xf numFmtId="182" fontId="3" fillId="0" borderId="1" applyAlignment="1" pivotButton="0" quotePrefix="0" xfId="0">
      <alignment horizontal="center" vertical="center"/>
    </xf>
    <xf numFmtId="18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84" fontId="4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85" fontId="4" fillId="6" borderId="2" applyAlignment="1" pivotButton="0" quotePrefix="0" xfId="0">
      <alignment horizontal="righ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 ht="40" customHeight="1">
      <c r="A1" s="1" t="inlineStr">
        <is>
          <t>ANÁLISIS DE DESEMPEÑO DE PLATAFORMAS UAV</t>
        </is>
      </c>
    </row>
    <row r="2" ht="28" customHeight="1">
      <c r="A2" s="2" t="inlineStr">
        <is>
          <t>Simbología</t>
        </is>
      </c>
      <c r="B2" s="2" t="inlineStr">
        <is>
          <t>Características</t>
        </is>
      </c>
      <c r="C2" s="2" t="inlineStr">
        <is>
          <t>Foam Board (Manual)</t>
        </is>
      </c>
      <c r="D2" s="2" t="inlineStr">
        <is>
          <t>Foam Board (Auto)</t>
        </is>
      </c>
      <c r="E2" s="2" t="inlineStr">
        <is>
          <t>Reno L250 (Auto)</t>
        </is>
      </c>
      <c r="F2" s="2" t="inlineStr">
        <is>
          <t>Foam Board (2200KV Variant)</t>
        </is>
      </c>
    </row>
    <row r="3" ht="25" customHeight="1">
      <c r="A3" s="3" t="inlineStr">
        <is>
          <t>1. DATOS FÍSICOS Y GEOMETRÍA (ENTRADAS CAD)</t>
        </is>
      </c>
      <c r="B3" s="4" t="n"/>
      <c r="C3" s="4" t="n"/>
      <c r="D3" s="4" t="n"/>
      <c r="E3" s="4" t="n"/>
      <c r="F3" s="4" t="n"/>
    </row>
    <row r="4" ht="20" customHeight="1">
      <c r="A4" s="5" t="inlineStr">
        <is>
          <t>b</t>
        </is>
      </c>
      <c r="B4" s="6" t="inlineStr">
        <is>
          <t>Envergadura (m)</t>
        </is>
      </c>
      <c r="C4" s="7" t="n">
        <v>1.05</v>
      </c>
      <c r="D4" s="7" t="n">
        <v>1.058</v>
      </c>
      <c r="E4" s="7" t="n">
        <v>1.143</v>
      </c>
      <c r="F4" s="7" t="n">
        <v>1.058</v>
      </c>
    </row>
    <row r="5" ht="20" customHeight="1">
      <c r="A5" s="8" t="inlineStr">
        <is>
          <t>S</t>
        </is>
      </c>
      <c r="B5" s="9" t="inlineStr">
        <is>
          <t>Área Alar (m²)</t>
        </is>
      </c>
      <c r="C5" s="10" t="n">
        <v>0.1699</v>
      </c>
      <c r="D5" s="10" t="n">
        <v>0.1699</v>
      </c>
      <c r="E5" s="10" t="n">
        <v>0.23</v>
      </c>
      <c r="F5" s="10" t="n">
        <v>0.1699</v>
      </c>
    </row>
    <row r="6" ht="20" customHeight="1">
      <c r="A6" s="5" t="inlineStr">
        <is>
          <t>L</t>
        </is>
      </c>
      <c r="B6" s="6" t="inlineStr">
        <is>
          <t>Longitud aproximada (m)</t>
        </is>
      </c>
      <c r="C6" s="7" t="n">
        <v>0.8</v>
      </c>
      <c r="D6" s="7" t="n">
        <v>0.8100000000000001</v>
      </c>
      <c r="E6" s="7" t="n">
        <v>0.88</v>
      </c>
      <c r="F6" s="7" t="n">
        <v>0.8100000000000001</v>
      </c>
    </row>
    <row r="7" ht="20" customHeight="1">
      <c r="A7" s="8" t="inlineStr">
        <is>
          <t>c</t>
        </is>
      </c>
      <c r="B7" s="9" t="inlineStr">
        <is>
          <t>Cuerda media (MAC, m)</t>
        </is>
      </c>
      <c r="C7" s="11" t="n">
        <v>0.155</v>
      </c>
      <c r="D7" s="11" t="n">
        <v>0.155</v>
      </c>
      <c r="E7" s="11" t="n">
        <v>0.201</v>
      </c>
      <c r="F7" s="11" t="n">
        <v>0.155</v>
      </c>
    </row>
    <row r="8" ht="20" customHeight="1">
      <c r="A8" s="5" t="inlineStr">
        <is>
          <t>AR</t>
        </is>
      </c>
      <c r="B8" s="6" t="inlineStr">
        <is>
          <t>Relación de Aspecto (Aspect Ratio)</t>
        </is>
      </c>
      <c r="C8" s="12">
        <f>C4^2/C5</f>
        <v/>
      </c>
      <c r="D8" s="12">
        <f>D4^2/D5</f>
        <v/>
      </c>
      <c r="E8" s="12">
        <f>E4^2/E5</f>
        <v/>
      </c>
      <c r="F8" s="12">
        <f>F4^2/F5</f>
        <v/>
      </c>
    </row>
    <row r="9" ht="25" customHeight="1">
      <c r="A9" s="3" t="inlineStr">
        <is>
          <t>2. SISTEMA DE PROPULSIÓN Y BATERÍA (ENTRADAS ESPECIFICACIONES)</t>
        </is>
      </c>
      <c r="B9" s="4" t="n"/>
      <c r="C9" s="4" t="n"/>
      <c r="D9" s="4" t="n"/>
      <c r="E9" s="4" t="n"/>
      <c r="F9" s="4" t="n"/>
    </row>
    <row r="10" ht="20" customHeight="1">
      <c r="A10" s="5" t="inlineStr">
        <is>
          <t>-</t>
        </is>
      </c>
      <c r="B10" s="6" t="inlineStr">
        <is>
          <t>Modelo del Motor Brushless</t>
        </is>
      </c>
      <c r="C10" s="13" t="inlineStr">
        <is>
          <t>A2212 1000KV</t>
        </is>
      </c>
      <c r="D10" s="13" t="inlineStr">
        <is>
          <t>A2212 1000KV</t>
        </is>
      </c>
      <c r="E10" s="13" t="inlineStr">
        <is>
          <t>KingVal 3548 1100KV</t>
        </is>
      </c>
      <c r="F10" s="13" t="inlineStr">
        <is>
          <t>2206 2200KV</t>
        </is>
      </c>
    </row>
    <row r="11" ht="20" customHeight="1">
      <c r="A11" s="8" t="inlineStr">
        <is>
          <t>-</t>
        </is>
      </c>
      <c r="B11" s="9" t="inlineStr">
        <is>
          <t>Variador de velocidad (ESC)</t>
        </is>
      </c>
      <c r="C11" s="14" t="inlineStr">
        <is>
          <t>ESC 30A</t>
        </is>
      </c>
      <c r="D11" s="14" t="inlineStr">
        <is>
          <t>ESC 30A</t>
        </is>
      </c>
      <c r="E11" s="14" t="inlineStr">
        <is>
          <t>ESC 60A</t>
        </is>
      </c>
      <c r="F11" s="14" t="inlineStr">
        <is>
          <t>ESC 30A</t>
        </is>
      </c>
    </row>
    <row r="12" ht="20" customHeight="1">
      <c r="A12" s="5" t="inlineStr">
        <is>
          <t>-</t>
        </is>
      </c>
      <c r="B12" s="6" t="inlineStr">
        <is>
          <t>Hélice seleccionada</t>
        </is>
      </c>
      <c r="C12" s="13" t="inlineStr">
        <is>
          <t>10x4.5</t>
        </is>
      </c>
      <c r="D12" s="13" t="inlineStr">
        <is>
          <t>10x4.5</t>
        </is>
      </c>
      <c r="E12" s="13" t="inlineStr">
        <is>
          <t>12x6</t>
        </is>
      </c>
      <c r="F12" s="13" t="inlineStr">
        <is>
          <t>5x4.5</t>
        </is>
      </c>
    </row>
    <row r="13" ht="20" customHeight="1">
      <c r="A13" s="8" t="inlineStr">
        <is>
          <t>Vbatt</t>
        </is>
      </c>
      <c r="B13" s="9" t="inlineStr">
        <is>
          <t>Voltaje nominal de batería (V)</t>
        </is>
      </c>
      <c r="C13" s="15" t="n">
        <v>11.1</v>
      </c>
      <c r="D13" s="15" t="n">
        <v>11.1</v>
      </c>
      <c r="E13" s="15" t="n">
        <v>11.1</v>
      </c>
      <c r="F13" s="15" t="n">
        <v>11.1</v>
      </c>
    </row>
    <row r="14" ht="20" customHeight="1">
      <c r="A14" s="5" t="inlineStr">
        <is>
          <t>C</t>
        </is>
      </c>
      <c r="B14" s="6" t="inlineStr">
        <is>
          <t>Capacidad de la batería (Ah)</t>
        </is>
      </c>
      <c r="C14" s="16" t="n">
        <v>2.2</v>
      </c>
      <c r="D14" s="16" t="n">
        <v>2.2</v>
      </c>
      <c r="E14" s="16" t="n">
        <v>2.2</v>
      </c>
      <c r="F14" s="16" t="n">
        <v>2.2</v>
      </c>
    </row>
    <row r="15" ht="20" customHeight="1">
      <c r="A15" s="8" t="inlineStr">
        <is>
          <t>E</t>
        </is>
      </c>
      <c r="B15" s="9" t="inlineStr">
        <is>
          <t>Energía total nominal (Wh)</t>
        </is>
      </c>
      <c r="C15" s="17">
        <f>C13*C14</f>
        <v/>
      </c>
      <c r="D15" s="17">
        <f>D13*D14</f>
        <v/>
      </c>
      <c r="E15" s="17">
        <f>E13*E14</f>
        <v/>
      </c>
      <c r="F15" s="17">
        <f>F13*F14</f>
        <v/>
      </c>
    </row>
    <row r="16" ht="20" customHeight="1">
      <c r="A16" s="5" t="inlineStr">
        <is>
          <t>Tkg</t>
        </is>
      </c>
      <c r="B16" s="6" t="inlineStr">
        <is>
          <t>Empuje máximo estático (kg)</t>
        </is>
      </c>
      <c r="C16" s="18" t="n">
        <v>0.885</v>
      </c>
      <c r="D16" s="18" t="n">
        <v>0.885</v>
      </c>
      <c r="E16" s="18" t="n">
        <v>2.218</v>
      </c>
      <c r="F16" s="18" t="n">
        <v>1.02</v>
      </c>
    </row>
    <row r="17" ht="20" customHeight="1">
      <c r="A17" s="8" t="inlineStr">
        <is>
          <t>I_cruise</t>
        </is>
      </c>
      <c r="B17" s="9" t="inlineStr">
        <is>
          <t>Corriente promedio en crucero (A)</t>
        </is>
      </c>
      <c r="C17" s="19" t="n">
        <v>10</v>
      </c>
      <c r="D17" s="19" t="n">
        <v>10</v>
      </c>
      <c r="E17" s="19" t="n">
        <v>20</v>
      </c>
      <c r="F17" s="19" t="n">
        <v>17</v>
      </c>
    </row>
    <row r="18" ht="20" customHeight="1">
      <c r="A18" s="5" t="inlineStr">
        <is>
          <t>I_max</t>
        </is>
      </c>
      <c r="B18" s="6" t="inlineStr">
        <is>
          <t>Corriente en máxima aceleración (A)</t>
        </is>
      </c>
      <c r="C18" s="20" t="n">
        <v>20</v>
      </c>
      <c r="D18" s="20" t="n">
        <v>20</v>
      </c>
      <c r="E18" s="20" t="n">
        <v>42</v>
      </c>
      <c r="F18" s="20" t="n">
        <v>25</v>
      </c>
    </row>
    <row r="19" ht="20" customHeight="1">
      <c r="A19" s="8" t="inlineStr">
        <is>
          <t>I_elec</t>
        </is>
      </c>
      <c r="B19" s="9" t="inlineStr">
        <is>
          <t>Consumo electrónica + servos (A)</t>
        </is>
      </c>
      <c r="C19" s="19" t="n">
        <v>1.1</v>
      </c>
      <c r="D19" s="19" t="n">
        <v>1.1</v>
      </c>
      <c r="E19" s="19" t="n">
        <v>4</v>
      </c>
      <c r="F19" s="19" t="n">
        <v>1.1</v>
      </c>
    </row>
    <row r="20" ht="25" customHeight="1">
      <c r="A20" s="3" t="inlineStr">
        <is>
          <t>3. CONSTANTES OPERATIVAS Y LÍMITES</t>
        </is>
      </c>
      <c r="B20" s="4" t="n"/>
      <c r="C20" s="4" t="n"/>
      <c r="D20" s="4" t="n"/>
      <c r="E20" s="4" t="n"/>
      <c r="F20" s="4" t="n"/>
    </row>
    <row r="21" ht="20" customHeight="1">
      <c r="A21" s="8" t="inlineStr">
        <is>
          <t>g</t>
        </is>
      </c>
      <c r="B21" s="9" t="inlineStr">
        <is>
          <t>Aceleración de gravedad (g, m/s²)</t>
        </is>
      </c>
      <c r="C21" s="21" t="n">
        <v>9.81</v>
      </c>
      <c r="D21" s="21" t="n">
        <v>9.81</v>
      </c>
      <c r="E21" s="21" t="n">
        <v>9.81</v>
      </c>
      <c r="F21" s="21" t="n">
        <v>9.81</v>
      </c>
    </row>
    <row r="22" ht="20" customHeight="1">
      <c r="A22" s="5" t="inlineStr">
        <is>
          <t>ρ</t>
        </is>
      </c>
      <c r="B22" s="6" t="inlineStr">
        <is>
          <t>Densidad del aire (mar, ISA, kg/m³)</t>
        </is>
      </c>
      <c r="C22" s="22" t="n">
        <v>1.225</v>
      </c>
      <c r="D22" s="22" t="n">
        <v>1.225</v>
      </c>
      <c r="E22" s="22" t="n">
        <v>1.225</v>
      </c>
      <c r="F22" s="22" t="n">
        <v>1.225</v>
      </c>
    </row>
    <row r="23" ht="20" customHeight="1">
      <c r="A23" s="8" t="inlineStr">
        <is>
          <t>CLmax</t>
        </is>
      </c>
      <c r="B23" s="9" t="inlineStr">
        <is>
          <t>Coeficiente de Sustentación máximo</t>
        </is>
      </c>
      <c r="C23" s="23" t="n">
        <v>0.9</v>
      </c>
      <c r="D23" s="23" t="n">
        <v>0.9</v>
      </c>
      <c r="E23" s="23" t="n">
        <v>1.2</v>
      </c>
      <c r="F23" s="23" t="n">
        <v>0.9</v>
      </c>
    </row>
    <row r="24" ht="20" customHeight="1">
      <c r="A24" s="5" t="inlineStr">
        <is>
          <t>CL_CFD</t>
        </is>
      </c>
      <c r="B24" s="6" t="inlineStr">
        <is>
          <t>Coeficiente sustentación pérdida (CFD)</t>
        </is>
      </c>
      <c r="C24" s="12" t="n">
        <v>0.9</v>
      </c>
      <c r="D24" s="12" t="n">
        <v>0.9</v>
      </c>
      <c r="E24" s="13" t="inlineStr">
        <is>
          <t>N/A</t>
        </is>
      </c>
      <c r="F24" s="12" t="n">
        <v>0.9</v>
      </c>
    </row>
    <row r="25" ht="25" customHeight="1">
      <c r="A25" s="3" t="inlineStr">
        <is>
          <t>4. ANÁLISIS DINÁMICO Y DESEMPEÑO CALCULADO</t>
        </is>
      </c>
      <c r="B25" s="4" t="n"/>
      <c r="C25" s="4" t="n"/>
      <c r="D25" s="4" t="n"/>
      <c r="E25" s="4" t="n"/>
      <c r="F25" s="4" t="n"/>
    </row>
    <row r="26" ht="20" customHeight="1">
      <c r="A26" s="5" t="inlineStr">
        <is>
          <t>m</t>
        </is>
      </c>
      <c r="B26" s="6" t="inlineStr">
        <is>
          <t>Masa total al despegue (MTOW, kg)</t>
        </is>
      </c>
      <c r="C26" s="18">
        <f>MATERIALES_USA!E17/1000</f>
        <v/>
      </c>
      <c r="D26" s="18">
        <f>MATERIALES_USA!J17/1000</f>
        <v/>
      </c>
      <c r="E26" s="18">
        <f>MATERIALES_USA!O17/1000</f>
        <v/>
      </c>
      <c r="F26" s="18">
        <f>MATERIALES_USA!T17/1000</f>
        <v/>
      </c>
    </row>
    <row r="27" ht="20" customHeight="1">
      <c r="A27" s="8" t="inlineStr">
        <is>
          <t>W</t>
        </is>
      </c>
      <c r="B27" s="9" t="inlineStr">
        <is>
          <t>Peso total estimado (W, N)</t>
        </is>
      </c>
      <c r="C27" s="24">
        <f>C26*C21</f>
        <v/>
      </c>
      <c r="D27" s="24">
        <f>D26*D21</f>
        <v/>
      </c>
      <c r="E27" s="24">
        <f>E26*E21</f>
        <v/>
      </c>
      <c r="F27" s="24">
        <f>F26*F21</f>
        <v/>
      </c>
    </row>
    <row r="28" ht="20" customHeight="1">
      <c r="A28" s="5" t="inlineStr">
        <is>
          <t>Vstall</t>
        </is>
      </c>
      <c r="B28" s="6" t="inlineStr">
        <is>
          <t>Velocidad de pérdida de diseño (m/s)</t>
        </is>
      </c>
      <c r="C28" s="25">
        <f>SQRT((2*C27)/(C22*C5*C23))</f>
        <v/>
      </c>
      <c r="D28" s="25">
        <f>SQRT((2*D27)/(D22*D5*D23))</f>
        <v/>
      </c>
      <c r="E28" s="25">
        <f>SQRT((2*E27)/(E22*E5*E23))</f>
        <v/>
      </c>
      <c r="F28" s="25">
        <f>SQRT((2*F27)/(F22*F5*F23))</f>
        <v/>
      </c>
    </row>
    <row r="29" ht="20" customHeight="1">
      <c r="A29" s="8" t="inlineStr">
        <is>
          <t>Vstall_k</t>
        </is>
      </c>
      <c r="B29" s="9" t="inlineStr">
        <is>
          <t>Velocidad de pérdida de diseño (km/h)</t>
        </is>
      </c>
      <c r="C29" s="26">
        <f>C28*3.6</f>
        <v/>
      </c>
      <c r="D29" s="26">
        <f>D28*3.6</f>
        <v/>
      </c>
      <c r="E29" s="26">
        <f>E28*3.6</f>
        <v/>
      </c>
      <c r="F29" s="26">
        <f>F28*3.6</f>
        <v/>
      </c>
    </row>
    <row r="30" ht="20" customHeight="1">
      <c r="A30" s="5" t="inlineStr">
        <is>
          <t>Vstall_CFD</t>
        </is>
      </c>
      <c r="B30" s="6" t="inlineStr">
        <is>
          <t>Velocidad de pérdida según CFD (m/s)</t>
        </is>
      </c>
      <c r="C30" s="25">
        <f>SQRT((2*C27)/(C22*C5*C24))</f>
        <v/>
      </c>
      <c r="D30" s="25">
        <f>SQRT((2*D27)/(D22*D5*D24))</f>
        <v/>
      </c>
      <c r="E30" s="25" t="inlineStr">
        <is>
          <t>N/A</t>
        </is>
      </c>
      <c r="F30" s="25">
        <f>SQRT((2*F27)/(F22*F5*F24))</f>
        <v/>
      </c>
    </row>
    <row r="31" ht="20" customHeight="1">
      <c r="A31" s="8" t="inlineStr">
        <is>
          <t>WL</t>
        </is>
      </c>
      <c r="B31" s="9" t="inlineStr">
        <is>
          <t>Carga Alar de Operación (g/dm²)</t>
        </is>
      </c>
      <c r="C31" s="27">
        <f>C26*10/C5</f>
        <v/>
      </c>
      <c r="D31" s="27">
        <f>D26*10/D5</f>
        <v/>
      </c>
      <c r="E31" s="27">
        <f>E26*10/E5</f>
        <v/>
      </c>
      <c r="F31" s="27">
        <f>F26*10/F5</f>
        <v/>
      </c>
    </row>
    <row r="32" ht="20" customHeight="1">
      <c r="A32" s="5" t="inlineStr">
        <is>
          <t>T/W_max</t>
        </is>
      </c>
      <c r="B32" s="6" t="inlineStr">
        <is>
          <t>Relación Empuje/Peso Máxima</t>
        </is>
      </c>
      <c r="C32" s="12">
        <f>C16/C26</f>
        <v/>
      </c>
      <c r="D32" s="12">
        <f>D16/D26</f>
        <v/>
      </c>
      <c r="E32" s="12">
        <f>E16/E26</f>
        <v/>
      </c>
      <c r="F32" s="12">
        <f>F16/F26</f>
        <v/>
      </c>
    </row>
    <row r="33" ht="20" customHeight="1">
      <c r="A33" s="8" t="inlineStr">
        <is>
          <t>t_th</t>
        </is>
      </c>
      <c r="B33" s="9" t="inlineStr">
        <is>
          <t>Autonomía Teórica en crucero (min)</t>
        </is>
      </c>
      <c r="C33" s="28">
        <f>(C14/(C17+C19))*60</f>
        <v/>
      </c>
      <c r="D33" s="28">
        <f>(D14/(D17+D19))*60</f>
        <v/>
      </c>
      <c r="E33" s="28">
        <f>(E14/(E17+E19))*60</f>
        <v/>
      </c>
      <c r="F33" s="28">
        <f>(F14/(F17+F19))*60</f>
        <v/>
      </c>
    </row>
    <row r="34" ht="20" customHeight="1">
      <c r="A34" s="5" t="inlineStr">
        <is>
          <t>t_pr</t>
        </is>
      </c>
      <c r="B34" s="6" t="inlineStr">
        <is>
          <t>Autonomía Práctica en crucero (70%, min)</t>
        </is>
      </c>
      <c r="C34" s="29">
        <f>C33*0.7</f>
        <v/>
      </c>
      <c r="D34" s="29">
        <f>D33*0.7</f>
        <v/>
      </c>
      <c r="E34" s="29">
        <f>E33*0.7</f>
        <v/>
      </c>
      <c r="F34" s="29">
        <f>F33*0.7</f>
        <v/>
      </c>
    </row>
    <row r="35" ht="20" customHeight="1">
      <c r="A35" s="8" t="inlineStr">
        <is>
          <t>t_th_max</t>
        </is>
      </c>
      <c r="B35" s="9" t="inlineStr">
        <is>
          <t>Autonomía Teórica al 100% Throttle (min)</t>
        </is>
      </c>
      <c r="C35" s="28">
        <f>(C14/(C18+C19))*60</f>
        <v/>
      </c>
      <c r="D35" s="28">
        <f>(D14/(D18+D19))*60</f>
        <v/>
      </c>
      <c r="E35" s="28">
        <f>(E14/(E18+E19))*60</f>
        <v/>
      </c>
      <c r="F35" s="28">
        <f>(F14/(F18+F19))*60</f>
        <v/>
      </c>
    </row>
    <row r="36" ht="20" customHeight="1">
      <c r="A36" s="5" t="inlineStr">
        <is>
          <t>t_pr_max</t>
        </is>
      </c>
      <c r="B36" s="6" t="inlineStr">
        <is>
          <t>Autonomía Práctica al 100% Throttle (min)</t>
        </is>
      </c>
      <c r="C36" s="29">
        <f>C35*0.7</f>
        <v/>
      </c>
      <c r="D36" s="29">
        <f>D35*0.7</f>
        <v/>
      </c>
      <c r="E36" s="29">
        <f>E35*0.7</f>
        <v/>
      </c>
      <c r="F36" s="29">
        <f>F35*0.7</f>
        <v/>
      </c>
    </row>
    <row r="37" ht="20" customHeight="1">
      <c r="A37" s="8" t="inlineStr">
        <is>
          <t>P_cruise</t>
        </is>
      </c>
      <c r="B37" s="9" t="inlineStr">
        <is>
          <t>Potencia requerida en crucero (W)</t>
        </is>
      </c>
      <c r="C37" s="30">
        <f>C13*C17</f>
        <v/>
      </c>
      <c r="D37" s="30">
        <f>D13*D17</f>
        <v/>
      </c>
      <c r="E37" s="30">
        <f>E13*E17</f>
        <v/>
      </c>
      <c r="F37" s="30">
        <f>F13*F17</f>
        <v/>
      </c>
    </row>
    <row r="38" ht="20" customHeight="1">
      <c r="A38" s="5" t="inlineStr">
        <is>
          <t>P_max</t>
        </is>
      </c>
      <c r="B38" s="6" t="inlineStr">
        <is>
          <t>Potencia máxima de propulsión (W)</t>
        </is>
      </c>
      <c r="C38" s="31">
        <f>C13*C18</f>
        <v/>
      </c>
      <c r="D38" s="31">
        <f>D13*D18</f>
        <v/>
      </c>
      <c r="E38" s="31">
        <f>E13*E18</f>
        <v/>
      </c>
      <c r="F38" s="31">
        <f>F13*F18</f>
        <v/>
      </c>
    </row>
    <row r="39" ht="20" customHeight="1">
      <c r="A39" s="8" t="inlineStr">
        <is>
          <t>V_cruise_rec</t>
        </is>
      </c>
      <c r="B39" s="9" t="inlineStr">
        <is>
          <t>Velocidad de crucero recomendada (m/s)</t>
        </is>
      </c>
      <c r="C39" s="32">
        <f>1.3*C28</f>
        <v/>
      </c>
      <c r="D39" s="32">
        <f>1.3*D28</f>
        <v/>
      </c>
      <c r="E39" s="32">
        <f>1.3*E28</f>
        <v/>
      </c>
      <c r="F39" s="32">
        <f>1.3*F28</f>
        <v/>
      </c>
    </row>
    <row r="40" ht="20" customHeight="1">
      <c r="A40" s="33" t="inlineStr">
        <is>
          <t>-</t>
        </is>
      </c>
      <c r="B40" s="34" t="inlineStr">
        <is>
          <t>Costo total importado (USD)</t>
        </is>
      </c>
      <c r="C40" s="35">
        <f>MATERIALES_USA!E29</f>
        <v/>
      </c>
      <c r="D40" s="35">
        <f>MATERIALES_USA!J29</f>
        <v/>
      </c>
      <c r="E40" s="35">
        <f>MATERIALES_USA!O29</f>
        <v/>
      </c>
      <c r="F40" s="35">
        <f>MATERIALES_USA!T29</f>
        <v/>
      </c>
    </row>
  </sheetData>
  <mergeCells count="5">
    <mergeCell ref="A1:F1"/>
    <mergeCell ref="A9:F9"/>
    <mergeCell ref="A3:F3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18" customWidth="1" min="4" max="4"/>
    <col width="18" customWidth="1" min="5" max="5"/>
    <col width="10" customWidth="1" min="6" max="6"/>
    <col width="18" customWidth="1" min="7" max="7"/>
    <col width="10" customWidth="1" min="8" max="8"/>
    <col width="18" customWidth="1" min="9" max="9"/>
    <col width="18" customWidth="1" min="10" max="10"/>
    <col width="10" customWidth="1" min="11" max="11"/>
    <col width="18" customWidth="1" min="12" max="12"/>
    <col width="10" customWidth="1" min="13" max="13"/>
    <col width="18" customWidth="1" min="14" max="14"/>
    <col width="18" customWidth="1" min="15" max="15"/>
    <col width="10" customWidth="1" min="16" max="16"/>
    <col width="18" customWidth="1" min="17" max="17"/>
    <col width="10" customWidth="1" min="18" max="18"/>
    <col width="18" customWidth="1" min="19" max="19"/>
    <col width="18" customWidth="1" min="20" max="20"/>
    <col width="10" customWidth="1" min="21" max="21"/>
    <col width="18" customWidth="1" min="22" max="22"/>
    <col width="45" customWidth="1" min="23" max="23"/>
  </cols>
  <sheetData>
    <row r="1" ht="40" customHeight="1">
      <c r="A1" s="1" t="inlineStr">
        <is>
          <t>DESGLOSE DE COSTOS Y ANÁLISIS DE IMPORTACIÓN (FOB EE.UU.)</t>
        </is>
      </c>
    </row>
    <row r="2" ht="28" customHeight="1">
      <c r="A2" s="2" t="inlineStr">
        <is>
          <t>Componente</t>
        </is>
      </c>
      <c r="B2" s="2" t="inlineStr">
        <is>
          <t>Especificaciones</t>
        </is>
      </c>
      <c r="C2" s="2" t="inlineStr">
        <is>
          <t>Manual Qty</t>
        </is>
      </c>
      <c r="D2" s="2" t="inlineStr">
        <is>
          <t>W Unit Manual (g)</t>
        </is>
      </c>
      <c r="E2" s="2" t="inlineStr">
        <is>
          <t>W Total Manual (g)</t>
        </is>
      </c>
      <c r="F2" s="2" t="inlineStr">
        <is>
          <t>P Unit Manual (USD)</t>
        </is>
      </c>
      <c r="G2" s="2" t="inlineStr">
        <is>
          <t>P Total Manual (USD)</t>
        </is>
      </c>
      <c r="H2" s="2" t="inlineStr">
        <is>
          <t>Auto Qty</t>
        </is>
      </c>
      <c r="I2" s="2" t="inlineStr">
        <is>
          <t>W Unit Auto (g)</t>
        </is>
      </c>
      <c r="J2" s="2" t="inlineStr">
        <is>
          <t>W Total Auto (g)</t>
        </is>
      </c>
      <c r="K2" s="2" t="inlineStr">
        <is>
          <t>P Unit Auto (USD)</t>
        </is>
      </c>
      <c r="L2" s="2" t="inlineStr">
        <is>
          <t>P Total Auto (USD)</t>
        </is>
      </c>
      <c r="M2" s="2" t="inlineStr">
        <is>
          <t>Reno Qty</t>
        </is>
      </c>
      <c r="N2" s="2" t="inlineStr">
        <is>
          <t>W Unit Reno (g)</t>
        </is>
      </c>
      <c r="O2" s="2" t="inlineStr">
        <is>
          <t>W Total Reno (g)</t>
        </is>
      </c>
      <c r="P2" s="2" t="inlineStr">
        <is>
          <t>P Unit Reno (USD)</t>
        </is>
      </c>
      <c r="Q2" s="2" t="inlineStr">
        <is>
          <t>P Total Reno (USD)</t>
        </is>
      </c>
      <c r="R2" s="2" t="inlineStr">
        <is>
          <t>Variant Qty</t>
        </is>
      </c>
      <c r="S2" s="2" t="inlineStr">
        <is>
          <t>W Unit Variant (g)</t>
        </is>
      </c>
      <c r="T2" s="2" t="inlineStr">
        <is>
          <t>W Total Variant (g)</t>
        </is>
      </c>
      <c r="U2" s="2" t="inlineStr">
        <is>
          <t>P Unit Variant (USD)</t>
        </is>
      </c>
      <c r="V2" s="2" t="inlineStr">
        <is>
          <t>P Total Variant (USD)</t>
        </is>
      </c>
      <c r="W2" s="2" t="inlineStr">
        <is>
          <t>Referencia Link</t>
        </is>
      </c>
    </row>
    <row r="3" ht="20" customHeight="1">
      <c r="A3" s="9" t="inlineStr">
        <is>
          <t>Fuselaje / Estructura</t>
        </is>
      </c>
      <c r="B3" s="9" t="inlineStr">
        <is>
          <t>Madera balsa / Foam board según plataforma</t>
        </is>
      </c>
      <c r="C3" s="8" t="n">
        <v>1</v>
      </c>
      <c r="D3" s="36" t="n">
        <v>236</v>
      </c>
      <c r="E3" s="36">
        <f>C3*D3</f>
        <v/>
      </c>
      <c r="F3" s="37" t="n">
        <v>8</v>
      </c>
      <c r="G3" s="37">
        <f>C3*F3</f>
        <v/>
      </c>
      <c r="H3" s="8" t="n">
        <v>1</v>
      </c>
      <c r="I3" s="36" t="n">
        <v>166.45</v>
      </c>
      <c r="J3" s="36">
        <f>H3*I3</f>
        <v/>
      </c>
      <c r="K3" s="37" t="n">
        <v>8</v>
      </c>
      <c r="L3" s="37">
        <f>H3*K3</f>
        <v/>
      </c>
      <c r="M3" s="8" t="n">
        <v>1</v>
      </c>
      <c r="N3" s="36" t="n">
        <v>600</v>
      </c>
      <c r="O3" s="36">
        <f>M3*N3</f>
        <v/>
      </c>
      <c r="P3" s="37" t="n">
        <v>260</v>
      </c>
      <c r="Q3" s="37">
        <f>M3*P3</f>
        <v/>
      </c>
      <c r="R3" s="8" t="n">
        <v>1</v>
      </c>
      <c r="S3" s="36" t="n">
        <v>166.45</v>
      </c>
      <c r="T3" s="36">
        <f>R3*S3</f>
        <v/>
      </c>
      <c r="U3" s="37" t="n">
        <v>8</v>
      </c>
      <c r="V3" s="37">
        <f>R3*U3</f>
        <v/>
      </c>
      <c r="W3" s="9" t="inlineStr">
        <is>
          <t>https://www.joyplanes.com/es/joytrainer-mini/</t>
        </is>
      </c>
    </row>
    <row r="4" ht="20" customHeight="1">
      <c r="A4" s="6" t="inlineStr">
        <is>
          <t>Motor Brushless</t>
        </is>
      </c>
      <c r="B4" s="6" t="inlineStr">
        <is>
          <t>A2212 1000KV / KingVal 3548 1100KV / 2206 2200KV</t>
        </is>
      </c>
      <c r="C4" s="5" t="n">
        <v>1</v>
      </c>
      <c r="D4" s="38" t="n">
        <v>50</v>
      </c>
      <c r="E4" s="38">
        <f>C4*D4</f>
        <v/>
      </c>
      <c r="F4" s="39" t="n">
        <v>12</v>
      </c>
      <c r="G4" s="39">
        <f>C4*F4</f>
        <v/>
      </c>
      <c r="H4" s="5" t="n">
        <v>1</v>
      </c>
      <c r="I4" s="38" t="n">
        <v>50</v>
      </c>
      <c r="J4" s="38">
        <f>H4*I4</f>
        <v/>
      </c>
      <c r="K4" s="39" t="n">
        <v>12</v>
      </c>
      <c r="L4" s="39">
        <f>H4*K4</f>
        <v/>
      </c>
      <c r="M4" s="5" t="n">
        <v>1</v>
      </c>
      <c r="N4" s="38" t="n">
        <v>172.08</v>
      </c>
      <c r="O4" s="38">
        <f>M4*N4</f>
        <v/>
      </c>
      <c r="P4" s="39" t="n">
        <v>40</v>
      </c>
      <c r="Q4" s="39">
        <f>M4*P4</f>
        <v/>
      </c>
      <c r="R4" s="5" t="n">
        <v>1</v>
      </c>
      <c r="S4" s="38" t="n">
        <v>35</v>
      </c>
      <c r="T4" s="38">
        <f>R4*S4</f>
        <v/>
      </c>
      <c r="U4" s="39" t="n">
        <v>18</v>
      </c>
      <c r="V4" s="39">
        <f>R4*U4</f>
        <v/>
      </c>
      <c r="W4" s="6" t="inlineStr">
        <is>
          <t>https://a.co/d/4o5VnrM</t>
        </is>
      </c>
    </row>
    <row r="5" ht="20" customHeight="1">
      <c r="A5" s="9" t="inlineStr">
        <is>
          <t>Variador de Velocidad (ESC)</t>
        </is>
      </c>
      <c r="B5" s="9" t="inlineStr">
        <is>
          <t>ESC 30A (manual/auto/variant) / Flycolor 60A (Reno)</t>
        </is>
      </c>
      <c r="C5" s="8" t="n">
        <v>1</v>
      </c>
      <c r="D5" s="36" t="n">
        <v>30</v>
      </c>
      <c r="E5" s="36">
        <f>C5*D5</f>
        <v/>
      </c>
      <c r="F5" s="37" t="n">
        <v>10</v>
      </c>
      <c r="G5" s="37">
        <f>C5*F5</f>
        <v/>
      </c>
      <c r="H5" s="8" t="n">
        <v>1</v>
      </c>
      <c r="I5" s="36" t="n">
        <v>30</v>
      </c>
      <c r="J5" s="36">
        <f>H5*I5</f>
        <v/>
      </c>
      <c r="K5" s="37" t="n">
        <v>10</v>
      </c>
      <c r="L5" s="37">
        <f>H5*K5</f>
        <v/>
      </c>
      <c r="M5" s="8" t="n">
        <v>1</v>
      </c>
      <c r="N5" s="36" t="n">
        <v>100</v>
      </c>
      <c r="O5" s="36">
        <f>M5*N5</f>
        <v/>
      </c>
      <c r="P5" s="37" t="n">
        <v>35</v>
      </c>
      <c r="Q5" s="37">
        <f>M5*P5</f>
        <v/>
      </c>
      <c r="R5" s="8" t="n">
        <v>1</v>
      </c>
      <c r="S5" s="36" t="n">
        <v>30</v>
      </c>
      <c r="T5" s="36">
        <f>R5*S5</f>
        <v/>
      </c>
      <c r="U5" s="37" t="n">
        <v>10</v>
      </c>
      <c r="V5" s="37">
        <f>R5*U5</f>
        <v/>
      </c>
      <c r="W5" s="9" t="inlineStr">
        <is>
          <t>https://www.amazon.com/dp/B09PNFKH23</t>
        </is>
      </c>
    </row>
    <row r="6" ht="20" customHeight="1">
      <c r="A6" s="6" t="inlineStr">
        <is>
          <t>Hélice de Diseño</t>
        </is>
      </c>
      <c r="B6" s="6" t="inlineStr">
        <is>
          <t>10x4.5 (Foam) / 12x6 (Reno) / 5x4.5 (Variant)</t>
        </is>
      </c>
      <c r="C6" s="5" t="n">
        <v>1</v>
      </c>
      <c r="D6" s="38" t="n">
        <v>15</v>
      </c>
      <c r="E6" s="38">
        <f>C6*D6</f>
        <v/>
      </c>
      <c r="F6" s="39" t="n">
        <v>5</v>
      </c>
      <c r="G6" s="39">
        <f>C6*F6</f>
        <v/>
      </c>
      <c r="H6" s="5" t="n">
        <v>1</v>
      </c>
      <c r="I6" s="38" t="n">
        <v>15</v>
      </c>
      <c r="J6" s="38">
        <f>H6*I6</f>
        <v/>
      </c>
      <c r="K6" s="39" t="n">
        <v>5</v>
      </c>
      <c r="L6" s="39">
        <f>H6*K6</f>
        <v/>
      </c>
      <c r="M6" s="5" t="n">
        <v>1</v>
      </c>
      <c r="N6" s="38" t="n">
        <v>40</v>
      </c>
      <c r="O6" s="38">
        <f>M6*N6</f>
        <v/>
      </c>
      <c r="P6" s="39" t="n">
        <v>30</v>
      </c>
      <c r="Q6" s="39">
        <f>M6*P6</f>
        <v/>
      </c>
      <c r="R6" s="5" t="n">
        <v>1</v>
      </c>
      <c r="S6" s="38" t="n">
        <v>5</v>
      </c>
      <c r="T6" s="38">
        <f>R6*S6</f>
        <v/>
      </c>
      <c r="U6" s="39" t="n">
        <v>4</v>
      </c>
      <c r="V6" s="39">
        <f>R6*U6</f>
        <v/>
      </c>
      <c r="W6" s="6" t="inlineStr">
        <is>
          <t>https://a.co/d/cJSaEcq</t>
        </is>
      </c>
    </row>
    <row r="7" ht="20" customHeight="1">
      <c r="A7" s="9" t="inlineStr">
        <is>
          <t>Batería LiPo 3S</t>
        </is>
      </c>
      <c r="B7" s="9" t="inlineStr">
        <is>
          <t>Lipo 3S 2200 mAh (11.1 V)</t>
        </is>
      </c>
      <c r="C7" s="8" t="n">
        <v>1</v>
      </c>
      <c r="D7" s="36" t="n">
        <v>200</v>
      </c>
      <c r="E7" s="36">
        <f>C7*D7</f>
        <v/>
      </c>
      <c r="F7" s="37" t="n">
        <v>20</v>
      </c>
      <c r="G7" s="37">
        <f>C7*F7</f>
        <v/>
      </c>
      <c r="H7" s="8" t="n">
        <v>1</v>
      </c>
      <c r="I7" s="36" t="n">
        <v>200</v>
      </c>
      <c r="J7" s="36">
        <f>H7*I7</f>
        <v/>
      </c>
      <c r="K7" s="37" t="n">
        <v>20</v>
      </c>
      <c r="L7" s="37">
        <f>H7*K7</f>
        <v/>
      </c>
      <c r="M7" s="8" t="n">
        <v>1</v>
      </c>
      <c r="N7" s="36" t="n">
        <v>200</v>
      </c>
      <c r="O7" s="36">
        <f>M7*N7</f>
        <v/>
      </c>
      <c r="P7" s="37" t="n">
        <v>20</v>
      </c>
      <c r="Q7" s="37">
        <f>M7*P7</f>
        <v/>
      </c>
      <c r="R7" s="8" t="n">
        <v>1</v>
      </c>
      <c r="S7" s="36" t="n">
        <v>200</v>
      </c>
      <c r="T7" s="36">
        <f>R7*S7</f>
        <v/>
      </c>
      <c r="U7" s="37" t="n">
        <v>20</v>
      </c>
      <c r="V7" s="37">
        <f>R7*U7</f>
        <v/>
      </c>
      <c r="W7" s="9" t="inlineStr">
        <is>
          <t>https://www.amazon.com/dp/B077P73SDS</t>
        </is>
      </c>
    </row>
    <row r="8" ht="20" customHeight="1">
      <c r="A8" s="6" t="inlineStr">
        <is>
          <t>Servomotores</t>
        </is>
      </c>
      <c r="B8" s="6" t="inlineStr">
        <is>
          <t>9g estándar (Foam) / MG996R metal gear (Reno)</t>
        </is>
      </c>
      <c r="C8" s="5" t="n">
        <v>4</v>
      </c>
      <c r="D8" s="38" t="n">
        <v>9</v>
      </c>
      <c r="E8" s="38">
        <f>C8*D8</f>
        <v/>
      </c>
      <c r="F8" s="39" t="n">
        <v>2.5</v>
      </c>
      <c r="G8" s="39">
        <f>C8*F8</f>
        <v/>
      </c>
      <c r="H8" s="5" t="n">
        <v>4</v>
      </c>
      <c r="I8" s="38" t="n">
        <v>9</v>
      </c>
      <c r="J8" s="38">
        <f>H8*I8</f>
        <v/>
      </c>
      <c r="K8" s="39" t="n">
        <v>2.5</v>
      </c>
      <c r="L8" s="39">
        <f>H8*K8</f>
        <v/>
      </c>
      <c r="M8" s="5" t="n">
        <v>3</v>
      </c>
      <c r="N8" s="38" t="n">
        <v>60</v>
      </c>
      <c r="O8" s="38">
        <f>M8*N8</f>
        <v/>
      </c>
      <c r="P8" s="39" t="n">
        <v>10</v>
      </c>
      <c r="Q8" s="39">
        <f>M8*P8</f>
        <v/>
      </c>
      <c r="R8" s="5" t="n">
        <v>4</v>
      </c>
      <c r="S8" s="38" t="n">
        <v>9</v>
      </c>
      <c r="T8" s="38">
        <f>R8*S8</f>
        <v/>
      </c>
      <c r="U8" s="39" t="n">
        <v>2.5</v>
      </c>
      <c r="V8" s="39">
        <f>R8*U8</f>
        <v/>
      </c>
      <c r="W8" s="6" t="inlineStr">
        <is>
          <t>https://www.amazon.com/s?k=MG996R</t>
        </is>
      </c>
    </row>
    <row r="9" ht="20" customHeight="1">
      <c r="A9" s="9" t="inlineStr">
        <is>
          <t>Controlador de Vuelo</t>
        </is>
      </c>
      <c r="B9" s="9" t="inlineStr">
        <is>
          <t>Pixhawk 2.4.8 Autopilot</t>
        </is>
      </c>
      <c r="C9" s="8" t="n">
        <v>0</v>
      </c>
      <c r="D9" s="36" t="n">
        <v>0</v>
      </c>
      <c r="E9" s="36">
        <f>C9*D9</f>
        <v/>
      </c>
      <c r="F9" s="37" t="n">
        <v>0</v>
      </c>
      <c r="G9" s="37">
        <f>C9*F9</f>
        <v/>
      </c>
      <c r="H9" s="8" t="n">
        <v>1</v>
      </c>
      <c r="I9" s="36" t="n">
        <v>50</v>
      </c>
      <c r="J9" s="36">
        <f>H9*I9</f>
        <v/>
      </c>
      <c r="K9" s="37" t="n">
        <v>200</v>
      </c>
      <c r="L9" s="37">
        <f>H9*K9</f>
        <v/>
      </c>
      <c r="M9" s="8" t="n">
        <v>1</v>
      </c>
      <c r="N9" s="36" t="n">
        <v>50</v>
      </c>
      <c r="O9" s="36">
        <f>M9*N9</f>
        <v/>
      </c>
      <c r="P9" s="37" t="n">
        <v>200</v>
      </c>
      <c r="Q9" s="37">
        <f>M9*P9</f>
        <v/>
      </c>
      <c r="R9" s="8" t="n">
        <v>1</v>
      </c>
      <c r="S9" s="36" t="n">
        <v>50</v>
      </c>
      <c r="T9" s="36">
        <f>R9*S9</f>
        <v/>
      </c>
      <c r="U9" s="37" t="n">
        <v>200</v>
      </c>
      <c r="V9" s="37">
        <f>R9*U9</f>
        <v/>
      </c>
      <c r="W9" s="9" t="inlineStr">
        <is>
          <t>https://www.amazon.com/dp/B07CHQ7SZ4</t>
        </is>
      </c>
    </row>
    <row r="10" ht="20" customHeight="1">
      <c r="A10" s="6" t="inlineStr">
        <is>
          <t>Módulo GPS / GNSS</t>
        </is>
      </c>
      <c r="B10" s="6" t="inlineStr">
        <is>
          <t>NEO-M8N GPS con soporte antena</t>
        </is>
      </c>
      <c r="C10" s="5" t="n">
        <v>0</v>
      </c>
      <c r="D10" s="38" t="n">
        <v>0</v>
      </c>
      <c r="E10" s="38">
        <f>C10*D10</f>
        <v/>
      </c>
      <c r="F10" s="39" t="n">
        <v>0</v>
      </c>
      <c r="G10" s="39">
        <f>C10*F10</f>
        <v/>
      </c>
      <c r="H10" s="5" t="n">
        <v>1</v>
      </c>
      <c r="I10" s="38" t="n">
        <v>20</v>
      </c>
      <c r="J10" s="38">
        <f>H10*I10</f>
        <v/>
      </c>
      <c r="K10" s="39" t="n">
        <v>40</v>
      </c>
      <c r="L10" s="39">
        <f>H10*K10</f>
        <v/>
      </c>
      <c r="M10" s="5" t="n">
        <v>1</v>
      </c>
      <c r="N10" s="38" t="n">
        <v>20</v>
      </c>
      <c r="O10" s="38">
        <f>M10*N10</f>
        <v/>
      </c>
      <c r="P10" s="39" t="n">
        <v>40</v>
      </c>
      <c r="Q10" s="39">
        <f>M10*P10</f>
        <v/>
      </c>
      <c r="R10" s="5" t="n">
        <v>1</v>
      </c>
      <c r="S10" s="38" t="n">
        <v>20</v>
      </c>
      <c r="T10" s="38">
        <f>R10*S10</f>
        <v/>
      </c>
      <c r="U10" s="39" t="n">
        <v>40</v>
      </c>
      <c r="V10" s="39">
        <f>R10*U10</f>
        <v/>
      </c>
      <c r="W10" s="6" t="inlineStr">
        <is>
          <t>https://www.aliexpress.com/item/3256802594266311.html</t>
        </is>
      </c>
    </row>
    <row r="11" ht="20" customHeight="1">
      <c r="A11" s="9" t="inlineStr">
        <is>
          <t>Receptor Radiocontrol</t>
        </is>
      </c>
      <c r="B11" s="9" t="inlineStr">
        <is>
          <t>Flysky FS-iA6B / FS-iA10B (2.4 GHz)</t>
        </is>
      </c>
      <c r="C11" s="8" t="n">
        <v>1</v>
      </c>
      <c r="D11" s="36" t="n">
        <v>15</v>
      </c>
      <c r="E11" s="36">
        <f>C11*D11</f>
        <v/>
      </c>
      <c r="F11" s="37" t="n">
        <v>24</v>
      </c>
      <c r="G11" s="37">
        <f>C11*F11</f>
        <v/>
      </c>
      <c r="H11" s="8" t="n">
        <v>1</v>
      </c>
      <c r="I11" s="36" t="n">
        <v>15</v>
      </c>
      <c r="J11" s="36">
        <f>H11*I11</f>
        <v/>
      </c>
      <c r="K11" s="37" t="n">
        <v>24</v>
      </c>
      <c r="L11" s="37">
        <f>H11*K11</f>
        <v/>
      </c>
      <c r="M11" s="8" t="n">
        <v>1</v>
      </c>
      <c r="N11" s="36" t="n">
        <v>15</v>
      </c>
      <c r="O11" s="36">
        <f>M11*N11</f>
        <v/>
      </c>
      <c r="P11" s="37" t="n">
        <v>24</v>
      </c>
      <c r="Q11" s="37">
        <f>M11*P11</f>
        <v/>
      </c>
      <c r="R11" s="8" t="n">
        <v>1</v>
      </c>
      <c r="S11" s="36" t="n">
        <v>15</v>
      </c>
      <c r="T11" s="36">
        <f>R11*S11</f>
        <v/>
      </c>
      <c r="U11" s="37" t="n">
        <v>24</v>
      </c>
      <c r="V11" s="37">
        <f>R11*U11</f>
        <v/>
      </c>
      <c r="W11" s="9" t="inlineStr">
        <is>
          <t>https://www.amazon.com/dp/B0744DPPL8</t>
        </is>
      </c>
    </row>
    <row r="12" ht="20" customHeight="1">
      <c r="A12" s="6" t="inlineStr">
        <is>
          <t>Transmisor Radiocontrol</t>
        </is>
      </c>
      <c r="B12" s="6" t="inlineStr">
        <is>
          <t>Flysky FS-i6X (Estación Terrena - No embarcado)</t>
        </is>
      </c>
      <c r="C12" s="5" t="n">
        <v>1</v>
      </c>
      <c r="D12" s="38" t="n">
        <v>0</v>
      </c>
      <c r="E12" s="38">
        <f>C12*D12</f>
        <v/>
      </c>
      <c r="F12" s="39" t="n">
        <v>60</v>
      </c>
      <c r="G12" s="39">
        <f>C12*F12</f>
        <v/>
      </c>
      <c r="H12" s="5" t="n">
        <v>1</v>
      </c>
      <c r="I12" s="38" t="n">
        <v>0</v>
      </c>
      <c r="J12" s="38">
        <f>H12*I12</f>
        <v/>
      </c>
      <c r="K12" s="39" t="n">
        <v>60</v>
      </c>
      <c r="L12" s="39">
        <f>H12*K12</f>
        <v/>
      </c>
      <c r="M12" s="5" t="n">
        <v>1</v>
      </c>
      <c r="N12" s="38" t="n">
        <v>0</v>
      </c>
      <c r="O12" s="38">
        <f>M12*N12</f>
        <v/>
      </c>
      <c r="P12" s="39" t="n">
        <v>60</v>
      </c>
      <c r="Q12" s="39">
        <f>M12*P12</f>
        <v/>
      </c>
      <c r="R12" s="5" t="n">
        <v>1</v>
      </c>
      <c r="S12" s="38" t="n">
        <v>0</v>
      </c>
      <c r="T12" s="38">
        <f>R12*S12</f>
        <v/>
      </c>
      <c r="U12" s="39" t="n">
        <v>60</v>
      </c>
      <c r="V12" s="39">
        <f>R12*U12</f>
        <v/>
      </c>
      <c r="W12" s="6" t="inlineStr">
        <is>
          <t>https://www.amazon.com/dp/B0744DPPL8</t>
        </is>
      </c>
    </row>
    <row r="13" ht="20" customHeight="1">
      <c r="A13" s="9" t="inlineStr">
        <is>
          <t>Módulo de Alimentación (BEC)</t>
        </is>
      </c>
      <c r="B13" s="9" t="inlineStr">
        <is>
          <t>Power Module 5.3V BEC con enchufe XT60</t>
        </is>
      </c>
      <c r="C13" s="8" t="n">
        <v>0</v>
      </c>
      <c r="D13" s="36" t="n">
        <v>0</v>
      </c>
      <c r="E13" s="36">
        <f>C13*D13</f>
        <v/>
      </c>
      <c r="F13" s="37" t="n">
        <v>0</v>
      </c>
      <c r="G13" s="37">
        <f>C13*F13</f>
        <v/>
      </c>
      <c r="H13" s="8" t="n">
        <v>1</v>
      </c>
      <c r="I13" s="36" t="n">
        <v>30</v>
      </c>
      <c r="J13" s="36">
        <f>H13*I13</f>
        <v/>
      </c>
      <c r="K13" s="37" t="n">
        <v>15</v>
      </c>
      <c r="L13" s="37">
        <f>H13*K13</f>
        <v/>
      </c>
      <c r="M13" s="8" t="n">
        <v>1</v>
      </c>
      <c r="N13" s="36" t="n">
        <v>30</v>
      </c>
      <c r="O13" s="36">
        <f>M13*N13</f>
        <v/>
      </c>
      <c r="P13" s="37" t="n">
        <v>15</v>
      </c>
      <c r="Q13" s="37">
        <f>M13*P13</f>
        <v/>
      </c>
      <c r="R13" s="8" t="n">
        <v>1</v>
      </c>
      <c r="S13" s="36" t="n">
        <v>30</v>
      </c>
      <c r="T13" s="36">
        <f>R13*S13</f>
        <v/>
      </c>
      <c r="U13" s="37" t="n">
        <v>15</v>
      </c>
      <c r="V13" s="37">
        <f>R13*U13</f>
        <v/>
      </c>
      <c r="W13" s="9" t="inlineStr">
        <is>
          <t>https://www.amazon.com/dp/B06XFW1X3K</t>
        </is>
      </c>
    </row>
    <row r="14" ht="20" customHeight="1">
      <c r="A14" s="6" t="inlineStr">
        <is>
          <t>Acople impreso 3D</t>
        </is>
      </c>
      <c r="B14" s="6" t="inlineStr">
        <is>
          <t>Soporte motor impreso PLA (en Reno)</t>
        </is>
      </c>
      <c r="C14" s="5" t="n">
        <v>0</v>
      </c>
      <c r="D14" s="38" t="n">
        <v>0</v>
      </c>
      <c r="E14" s="38">
        <f>C14*D14</f>
        <v/>
      </c>
      <c r="F14" s="39" t="n">
        <v>0</v>
      </c>
      <c r="G14" s="39">
        <f>C14*F14</f>
        <v/>
      </c>
      <c r="H14" s="5" t="n">
        <v>0</v>
      </c>
      <c r="I14" s="38" t="n">
        <v>0</v>
      </c>
      <c r="J14" s="38">
        <f>H14*I14</f>
        <v/>
      </c>
      <c r="K14" s="39" t="n">
        <v>0</v>
      </c>
      <c r="L14" s="39">
        <f>H14*K14</f>
        <v/>
      </c>
      <c r="M14" s="5" t="n">
        <v>1</v>
      </c>
      <c r="N14" s="38" t="n">
        <v>50</v>
      </c>
      <c r="O14" s="38">
        <f>M14*N14</f>
        <v/>
      </c>
      <c r="P14" s="39" t="n">
        <v>0</v>
      </c>
      <c r="Q14" s="39">
        <f>M14*P14</f>
        <v/>
      </c>
      <c r="R14" s="5" t="n">
        <v>0</v>
      </c>
      <c r="S14" s="38" t="n">
        <v>0</v>
      </c>
      <c r="T14" s="38">
        <f>R14*S14</f>
        <v/>
      </c>
      <c r="U14" s="39" t="n">
        <v>0</v>
      </c>
      <c r="V14" s="39">
        <f>R14*U14</f>
        <v/>
      </c>
      <c r="W14" s="6" t="inlineStr">
        <is>
          <t>Diseño Interno CAD (PLA)</t>
        </is>
      </c>
    </row>
    <row r="15" ht="20" customHeight="1">
      <c r="A15" s="9" t="inlineStr">
        <is>
          <t>Base interna impresa 3D</t>
        </is>
      </c>
      <c r="B15" s="9" t="inlineStr">
        <is>
          <t>Base soporte baterías y Pixhawk (en Reno)</t>
        </is>
      </c>
      <c r="C15" s="8" t="n">
        <v>0</v>
      </c>
      <c r="D15" s="36" t="n">
        <v>0</v>
      </c>
      <c r="E15" s="36">
        <f>C15*D15</f>
        <v/>
      </c>
      <c r="F15" s="37" t="n">
        <v>0</v>
      </c>
      <c r="G15" s="37">
        <f>C15*F15</f>
        <v/>
      </c>
      <c r="H15" s="8" t="n">
        <v>0</v>
      </c>
      <c r="I15" s="36" t="n">
        <v>0</v>
      </c>
      <c r="J15" s="36">
        <f>H15*I15</f>
        <v/>
      </c>
      <c r="K15" s="37" t="n">
        <v>0</v>
      </c>
      <c r="L15" s="37">
        <f>H15*K15</f>
        <v/>
      </c>
      <c r="M15" s="8" t="n">
        <v>1</v>
      </c>
      <c r="N15" s="36" t="n">
        <v>80</v>
      </c>
      <c r="O15" s="36">
        <f>M15*N15</f>
        <v/>
      </c>
      <c r="P15" s="37" t="n">
        <v>0</v>
      </c>
      <c r="Q15" s="37">
        <f>M15*P15</f>
        <v/>
      </c>
      <c r="R15" s="8" t="n">
        <v>0</v>
      </c>
      <c r="S15" s="36" t="n">
        <v>0</v>
      </c>
      <c r="T15" s="36">
        <f>R15*S15</f>
        <v/>
      </c>
      <c r="U15" s="37" t="n">
        <v>0</v>
      </c>
      <c r="V15" s="37">
        <f>R15*U15</f>
        <v/>
      </c>
      <c r="W15" s="9" t="inlineStr">
        <is>
          <t>Diseño Interno CAD (PLA)</t>
        </is>
      </c>
    </row>
    <row r="16" ht="20" customHeight="1">
      <c r="A16" s="6" t="inlineStr">
        <is>
          <t>Otros (Tornillería, cables, velcro, pegamento, varillas)</t>
        </is>
      </c>
      <c r="B16" s="6" t="inlineStr">
        <is>
          <t>Elementos varios para integración física</t>
        </is>
      </c>
      <c r="C16" s="5" t="n">
        <v>1</v>
      </c>
      <c r="D16" s="38" t="n">
        <v>0</v>
      </c>
      <c r="E16" s="38">
        <f>C16*D16</f>
        <v/>
      </c>
      <c r="F16" s="39" t="n">
        <v>0</v>
      </c>
      <c r="G16" s="39">
        <f>C16*F16</f>
        <v/>
      </c>
      <c r="H16" s="5" t="n">
        <v>1</v>
      </c>
      <c r="I16" s="38" t="n">
        <v>31.55</v>
      </c>
      <c r="J16" s="38">
        <f>H16*I16</f>
        <v/>
      </c>
      <c r="K16" s="39" t="n">
        <v>0</v>
      </c>
      <c r="L16" s="39">
        <f>H16*K16</f>
        <v/>
      </c>
      <c r="M16" s="5" t="n">
        <v>1</v>
      </c>
      <c r="N16" s="38" t="n">
        <v>62.92</v>
      </c>
      <c r="O16" s="38">
        <f>M16*N16</f>
        <v/>
      </c>
      <c r="P16" s="39" t="n">
        <v>0</v>
      </c>
      <c r="Q16" s="39">
        <f>M16*P16</f>
        <v/>
      </c>
      <c r="R16" s="5" t="n">
        <v>1</v>
      </c>
      <c r="S16" s="38" t="n">
        <v>272.55</v>
      </c>
      <c r="T16" s="38">
        <f>R16*S16</f>
        <v/>
      </c>
      <c r="U16" s="39" t="n">
        <v>0</v>
      </c>
      <c r="V16" s="39">
        <f>R16*U16</f>
        <v/>
      </c>
      <c r="W16" s="6" t="inlineStr">
        <is>
          <t>Material de taller local</t>
        </is>
      </c>
    </row>
    <row r="17" ht="22" customHeight="1">
      <c r="A17" s="40" t="inlineStr">
        <is>
          <t>SUBTOTALES (FOB EE.UU.)</t>
        </is>
      </c>
      <c r="B17" s="41" t="inlineStr"/>
      <c r="C17" s="41" t="inlineStr"/>
      <c r="D17" s="41" t="inlineStr"/>
      <c r="E17" s="42">
        <f>SUM(E3:E16)</f>
        <v/>
      </c>
      <c r="F17" s="41" t="inlineStr"/>
      <c r="G17" s="43">
        <f>SUM(G3:G16)</f>
        <v/>
      </c>
      <c r="H17" s="41" t="inlineStr"/>
      <c r="I17" s="41" t="inlineStr"/>
      <c r="J17" s="42">
        <f>SUM(J3:J16)</f>
        <v/>
      </c>
      <c r="K17" s="41" t="inlineStr"/>
      <c r="L17" s="43">
        <f>SUM(L3:L16)</f>
        <v/>
      </c>
      <c r="M17" s="41" t="inlineStr"/>
      <c r="N17" s="41" t="inlineStr"/>
      <c r="O17" s="42">
        <f>SUM(O3:O16)</f>
        <v/>
      </c>
      <c r="P17" s="41" t="inlineStr"/>
      <c r="Q17" s="43">
        <f>SUM(Q3:Q16)</f>
        <v/>
      </c>
      <c r="R17" s="41" t="inlineStr"/>
      <c r="S17" s="41" t="inlineStr"/>
      <c r="T17" s="42">
        <f>SUM(T3:T16)</f>
        <v/>
      </c>
      <c r="U17" s="41" t="inlineStr"/>
      <c r="V17" s="43">
        <f>SUM(V3:V16)</f>
        <v/>
      </c>
      <c r="W17" s="41" t="inlineStr"/>
    </row>
    <row r="18"/>
    <row r="19" ht="25" customHeight="1">
      <c r="A19" s="44" t="inlineStr">
        <is>
          <t>ANÁLISIS DE COSTO DE IMPORTACIÓN A ECUADOR</t>
        </is>
      </c>
    </row>
    <row r="20" ht="22" customHeight="1">
      <c r="A20" s="9" t="inlineStr">
        <is>
          <t>Costo por Libra Courier ($/lb)</t>
        </is>
      </c>
      <c r="B20" s="4" t="n"/>
      <c r="C20" s="4" t="n"/>
      <c r="D20" s="4" t="n"/>
      <c r="E20" s="37" t="n">
        <v>5</v>
      </c>
      <c r="F20" s="4" t="n"/>
      <c r="G20" s="4" t="n"/>
      <c r="H20" s="4" t="n"/>
      <c r="I20" s="4" t="n"/>
      <c r="J20" s="37" t="n">
        <v>5</v>
      </c>
      <c r="K20" s="4" t="n"/>
      <c r="L20" s="4" t="n"/>
      <c r="M20" s="4" t="n"/>
      <c r="N20" s="4" t="n"/>
      <c r="O20" s="37" t="n">
        <v>5</v>
      </c>
      <c r="P20" s="4" t="n"/>
      <c r="Q20" s="4" t="n"/>
      <c r="R20" s="4" t="n"/>
      <c r="S20" s="4" t="n"/>
      <c r="T20" s="37" t="n">
        <v>5</v>
      </c>
      <c r="U20" s="4" t="n"/>
      <c r="V20" s="4" t="n"/>
    </row>
    <row r="21" ht="22" customHeight="1">
      <c r="A21" s="9" t="inlineStr">
        <is>
          <t>Peso de Vuelo Total (lbs)</t>
        </is>
      </c>
      <c r="B21" s="4" t="n"/>
      <c r="C21" s="4" t="n"/>
      <c r="D21" s="4" t="n"/>
      <c r="E21" s="45">
        <f>E17/453.592</f>
        <v/>
      </c>
      <c r="F21" s="4" t="n"/>
      <c r="G21" s="4" t="n"/>
      <c r="H21" s="4" t="n"/>
      <c r="I21" s="4" t="n"/>
      <c r="J21" s="45">
        <f>J17/453.592</f>
        <v/>
      </c>
      <c r="K21" s="4" t="n"/>
      <c r="L21" s="4" t="n"/>
      <c r="M21" s="4" t="n"/>
      <c r="N21" s="4" t="n"/>
      <c r="O21" s="45">
        <f>O17/453.592</f>
        <v/>
      </c>
      <c r="P21" s="4" t="n"/>
      <c r="Q21" s="4" t="n"/>
      <c r="R21" s="4" t="n"/>
      <c r="S21" s="4" t="n"/>
      <c r="T21" s="45">
        <f>T17/453.592</f>
        <v/>
      </c>
      <c r="U21" s="4" t="n"/>
      <c r="V21" s="4" t="n"/>
    </row>
    <row r="22" ht="22" customHeight="1">
      <c r="A22" s="9" t="inlineStr">
        <is>
          <t>Costo por Flete (Costo Peso)</t>
        </is>
      </c>
      <c r="B22" s="4" t="n"/>
      <c r="C22" s="4" t="n"/>
      <c r="D22" s="4" t="n"/>
      <c r="E22" s="37">
        <f>E21*E20</f>
        <v/>
      </c>
      <c r="F22" s="4" t="n"/>
      <c r="G22" s="4" t="n"/>
      <c r="H22" s="4" t="n"/>
      <c r="I22" s="4" t="n"/>
      <c r="J22" s="37">
        <f>J21*J20</f>
        <v/>
      </c>
      <c r="K22" s="4" t="n"/>
      <c r="L22" s="4" t="n"/>
      <c r="M22" s="4" t="n"/>
      <c r="N22" s="4" t="n"/>
      <c r="O22" s="37">
        <f>O21*O20</f>
        <v/>
      </c>
      <c r="P22" s="4" t="n"/>
      <c r="Q22" s="4" t="n"/>
      <c r="R22" s="4" t="n"/>
      <c r="S22" s="4" t="n"/>
      <c r="T22" s="37">
        <f>T21*T20</f>
        <v/>
      </c>
      <c r="U22" s="4" t="n"/>
      <c r="V22" s="4" t="n"/>
    </row>
    <row r="23" ht="22" customHeight="1">
      <c r="A23" s="9" t="inlineStr">
        <is>
          <t>Precio FOB en EE.UU. (USD)</t>
        </is>
      </c>
      <c r="B23" s="4" t="n"/>
      <c r="C23" s="4" t="n"/>
      <c r="D23" s="4" t="n"/>
      <c r="E23" s="37">
        <f>G17</f>
        <v/>
      </c>
      <c r="F23" s="4" t="n"/>
      <c r="G23" s="4" t="n"/>
      <c r="H23" s="4" t="n"/>
      <c r="I23" s="4" t="n"/>
      <c r="J23" s="37">
        <f>L17</f>
        <v/>
      </c>
      <c r="K23" s="4" t="n"/>
      <c r="L23" s="4" t="n"/>
      <c r="M23" s="4" t="n"/>
      <c r="N23" s="4" t="n"/>
      <c r="O23" s="37">
        <f>Q17</f>
        <v/>
      </c>
      <c r="P23" s="4" t="n"/>
      <c r="Q23" s="4" t="n"/>
      <c r="R23" s="4" t="n"/>
      <c r="S23" s="4" t="n"/>
      <c r="T23" s="37">
        <f>V17</f>
        <v/>
      </c>
      <c r="U23" s="4" t="n"/>
      <c r="V23" s="4" t="n"/>
    </row>
    <row r="24" ht="22" customHeight="1">
      <c r="A24" s="9" t="inlineStr">
        <is>
          <t>Envío Doméstico en EE.UU. (Shipping 12%)</t>
        </is>
      </c>
      <c r="B24" s="4" t="n"/>
      <c r="C24" s="4" t="n"/>
      <c r="D24" s="4" t="n"/>
      <c r="E24" s="37">
        <f>E23*0.12</f>
        <v/>
      </c>
      <c r="F24" s="4" t="n"/>
      <c r="G24" s="4" t="n"/>
      <c r="H24" s="4" t="n"/>
      <c r="I24" s="4" t="n"/>
      <c r="J24" s="37">
        <f>J23*0.12</f>
        <v/>
      </c>
      <c r="K24" s="4" t="n"/>
      <c r="L24" s="4" t="n"/>
      <c r="M24" s="4" t="n"/>
      <c r="N24" s="4" t="n"/>
      <c r="O24" s="37">
        <f>O23*0.12</f>
        <v/>
      </c>
      <c r="P24" s="4" t="n"/>
      <c r="Q24" s="4" t="n"/>
      <c r="R24" s="4" t="n"/>
      <c r="S24" s="4" t="n"/>
      <c r="T24" s="37">
        <f>T23*0.12</f>
        <v/>
      </c>
      <c r="U24" s="4" t="n"/>
      <c r="V24" s="4" t="n"/>
    </row>
    <row r="25" ht="22" customHeight="1">
      <c r="A25" s="9" t="inlineStr">
        <is>
          <t>Impuesto Ventas EE.UU. (US Sales Tax 6%)</t>
        </is>
      </c>
      <c r="B25" s="4" t="n"/>
      <c r="C25" s="4" t="n"/>
      <c r="D25" s="4" t="n"/>
      <c r="E25" s="37">
        <f>E23*0.06</f>
        <v/>
      </c>
      <c r="F25" s="4" t="n"/>
      <c r="G25" s="4" t="n"/>
      <c r="H25" s="4" t="n"/>
      <c r="I25" s="4" t="n"/>
      <c r="J25" s="37">
        <f>J23*0.06</f>
        <v/>
      </c>
      <c r="K25" s="4" t="n"/>
      <c r="L25" s="4" t="n"/>
      <c r="M25" s="4" t="n"/>
      <c r="N25" s="4" t="n"/>
      <c r="O25" s="37">
        <f>O23*0.06</f>
        <v/>
      </c>
      <c r="P25" s="4" t="n"/>
      <c r="Q25" s="4" t="n"/>
      <c r="R25" s="4" t="n"/>
      <c r="S25" s="4" t="n"/>
      <c r="T25" s="37">
        <f>T23*0.06</f>
        <v/>
      </c>
      <c r="U25" s="4" t="n"/>
      <c r="V25" s="4" t="n"/>
    </row>
    <row r="26" ht="22" customHeight="1">
      <c r="A26" s="9" t="inlineStr">
        <is>
          <t>Arancel de Importación (Adunas 15% FOB)</t>
        </is>
      </c>
      <c r="B26" s="4" t="n"/>
      <c r="C26" s="4" t="n"/>
      <c r="D26" s="4" t="n"/>
      <c r="E26" s="37">
        <f>E23*0.15</f>
        <v/>
      </c>
      <c r="F26" s="4" t="n"/>
      <c r="G26" s="4" t="n"/>
      <c r="H26" s="4" t="n"/>
      <c r="I26" s="4" t="n"/>
      <c r="J26" s="37">
        <f>J23*0.15</f>
        <v/>
      </c>
      <c r="K26" s="4" t="n"/>
      <c r="L26" s="4" t="n"/>
      <c r="M26" s="4" t="n"/>
      <c r="N26" s="4" t="n"/>
      <c r="O26" s="37">
        <f>O23*0.15</f>
        <v/>
      </c>
      <c r="P26" s="4" t="n"/>
      <c r="Q26" s="4" t="n"/>
      <c r="R26" s="4" t="n"/>
      <c r="S26" s="4" t="n"/>
      <c r="T26" s="37">
        <f>T23*0.15</f>
        <v/>
      </c>
      <c r="U26" s="4" t="n"/>
      <c r="V26" s="4" t="n"/>
    </row>
    <row r="27" ht="22" customHeight="1">
      <c r="A27" s="9" t="inlineStr">
        <is>
          <t>FODINFA (5% FOB + $2.00 Fijo)</t>
        </is>
      </c>
      <c r="B27" s="4" t="n"/>
      <c r="C27" s="4" t="n"/>
      <c r="D27" s="4" t="n"/>
      <c r="E27" s="37">
        <f>E23*0.05 + 2</f>
        <v/>
      </c>
      <c r="F27" s="4" t="n"/>
      <c r="G27" s="4" t="n"/>
      <c r="H27" s="4" t="n"/>
      <c r="I27" s="4" t="n"/>
      <c r="J27" s="37">
        <f>J23*0.05 + 2</f>
        <v/>
      </c>
      <c r="K27" s="4" t="n"/>
      <c r="L27" s="4" t="n"/>
      <c r="M27" s="4" t="n"/>
      <c r="N27" s="4" t="n"/>
      <c r="O27" s="37">
        <f>O23*0.05 + 2</f>
        <v/>
      </c>
      <c r="P27" s="4" t="n"/>
      <c r="Q27" s="4" t="n"/>
      <c r="R27" s="4" t="n"/>
      <c r="S27" s="4" t="n"/>
      <c r="T27" s="37">
        <f>T23*0.05 + 2</f>
        <v/>
      </c>
      <c r="U27" s="4" t="n"/>
      <c r="V27" s="4" t="n"/>
    </row>
    <row r="28" ht="22" customHeight="1">
      <c r="A28" s="9" t="inlineStr">
        <is>
          <t>Tasa Fija Courier (Aduana Ecu.)</t>
        </is>
      </c>
      <c r="B28" s="4" t="n"/>
      <c r="C28" s="4" t="n"/>
      <c r="D28" s="4" t="n"/>
      <c r="E28" s="37" t="n">
        <v>20</v>
      </c>
      <c r="F28" s="4" t="n"/>
      <c r="G28" s="4" t="n"/>
      <c r="H28" s="4" t="n"/>
      <c r="I28" s="4" t="n"/>
      <c r="J28" s="37" t="n">
        <v>20</v>
      </c>
      <c r="K28" s="4" t="n"/>
      <c r="L28" s="4" t="n"/>
      <c r="M28" s="4" t="n"/>
      <c r="N28" s="4" t="n"/>
      <c r="O28" s="37" t="n">
        <v>20</v>
      </c>
      <c r="P28" s="4" t="n"/>
      <c r="Q28" s="4" t="n"/>
      <c r="R28" s="4" t="n"/>
      <c r="S28" s="4" t="n"/>
      <c r="T28" s="37" t="n">
        <v>20</v>
      </c>
      <c r="U28" s="4" t="n"/>
      <c r="V28" s="4" t="n"/>
    </row>
    <row r="29" ht="22" customHeight="1">
      <c r="A29" s="40" t="inlineStr">
        <is>
          <t>COSTO TOTAL IMPORTADO (USD)</t>
        </is>
      </c>
      <c r="B29" s="41" t="n"/>
      <c r="C29" s="41" t="n"/>
      <c r="D29" s="41" t="n"/>
      <c r="E29" s="35">
        <f>SUM(E22,E23,E24,E25,E26,E27,E28)</f>
        <v/>
      </c>
      <c r="F29" s="41" t="n"/>
      <c r="G29" s="41" t="n"/>
      <c r="H29" s="41" t="n"/>
      <c r="I29" s="41" t="n"/>
      <c r="J29" s="35">
        <f>SUM(J22,J23,J24,J25,J26,J27,J28)</f>
        <v/>
      </c>
      <c r="K29" s="41" t="n"/>
      <c r="L29" s="41" t="n"/>
      <c r="M29" s="41" t="n"/>
      <c r="N29" s="41" t="n"/>
      <c r="O29" s="35">
        <f>SUM(O22,O23,O24,O25,O26,O27,O28)</f>
        <v/>
      </c>
      <c r="P29" s="41" t="n"/>
      <c r="Q29" s="41" t="n"/>
      <c r="R29" s="41" t="n"/>
      <c r="S29" s="41" t="n"/>
      <c r="T29" s="35">
        <f>SUM(T22,T23,T24,T25,T26,T27,T28)</f>
        <v/>
      </c>
      <c r="U29" s="41" t="n"/>
      <c r="V29" s="41" t="n"/>
    </row>
  </sheetData>
  <mergeCells count="12">
    <mergeCell ref="A23:D23"/>
    <mergeCell ref="A1:W1"/>
    <mergeCell ref="A27:D27"/>
    <mergeCell ref="A19:V19"/>
    <mergeCell ref="A22:D22"/>
    <mergeCell ref="A20:D20"/>
    <mergeCell ref="A21:D21"/>
    <mergeCell ref="A26:D26"/>
    <mergeCell ref="A29:D29"/>
    <mergeCell ref="A25:D25"/>
    <mergeCell ref="A24:D24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40" customHeight="1">
      <c r="A1" s="1" t="inlineStr">
        <is>
          <t>CARACTERIZACIÓN AERODINÁMICA MEDIANTE CFD (SOLIDWORKS)</t>
        </is>
      </c>
    </row>
    <row r="2" ht="20" customHeight="1">
      <c r="A2" s="46" t="inlineStr">
        <is>
          <t>Coeficientes longitudinales del Foam Board (crucero constante V = 15 m/s, q = 137.81 Pa, S = 0.1699 m²)</t>
        </is>
      </c>
    </row>
    <row r="3" ht="28" customHeight="1">
      <c r="A3" s="2" t="inlineStr">
        <is>
          <t>Ángulo de Ataque (AoA, α)</t>
        </is>
      </c>
      <c r="B3" s="2" t="inlineStr">
        <is>
          <t>Coeficiente Sustentación (CL)</t>
        </is>
      </c>
      <c r="C3" s="2" t="inlineStr">
        <is>
          <t>Coeficiente Arrastre (CD)</t>
        </is>
      </c>
      <c r="D3" s="2" t="inlineStr">
        <is>
          <t>Coeficiente Momento (Cm @ CG)</t>
        </is>
      </c>
      <c r="E3" s="2" t="inlineStr">
        <is>
          <t>Eficiencia Aerodinámica (L/D)</t>
        </is>
      </c>
    </row>
    <row r="4" ht="20" customHeight="1">
      <c r="A4" s="47" t="n">
        <v>0</v>
      </c>
      <c r="B4" s="48" t="n">
        <v>0.008</v>
      </c>
      <c r="C4" s="48" t="n">
        <v>0.155</v>
      </c>
      <c r="D4" s="48" t="n">
        <v>0.057</v>
      </c>
      <c r="E4" s="12">
        <f>B4/C4</f>
        <v/>
      </c>
    </row>
    <row r="5" ht="20" customHeight="1">
      <c r="A5" s="49" t="n">
        <v>5</v>
      </c>
      <c r="B5" s="50" t="n">
        <v>0.245</v>
      </c>
      <c r="C5" s="50" t="n">
        <v>0.104</v>
      </c>
      <c r="D5" s="50" t="n">
        <v>0.039</v>
      </c>
      <c r="E5" s="23">
        <f>B5/C5</f>
        <v/>
      </c>
    </row>
    <row r="6" ht="20" customHeight="1">
      <c r="A6" s="47" t="n">
        <v>10</v>
      </c>
      <c r="B6" s="48" t="n">
        <v>0.459</v>
      </c>
      <c r="C6" s="48" t="n">
        <v>0.128</v>
      </c>
      <c r="D6" s="48" t="n">
        <v>0.107</v>
      </c>
      <c r="E6" s="12">
        <f>B6/C6</f>
        <v/>
      </c>
    </row>
    <row r="7" ht="20" customHeight="1">
      <c r="A7" s="49" t="n">
        <v>15</v>
      </c>
      <c r="B7" s="50" t="n">
        <v>0.719</v>
      </c>
      <c r="C7" s="50" t="n">
        <v>0.244</v>
      </c>
      <c r="D7" s="50" t="n">
        <v>0.119</v>
      </c>
      <c r="E7" s="23">
        <f>B7/C7</f>
        <v/>
      </c>
    </row>
    <row r="8" ht="20" customHeight="1">
      <c r="A8" s="47" t="n">
        <v>20</v>
      </c>
      <c r="B8" s="48" t="n">
        <v>0.9</v>
      </c>
      <c r="C8" s="48" t="n">
        <v>0.367</v>
      </c>
      <c r="D8" s="48" t="n">
        <v>0.174</v>
      </c>
      <c r="E8" s="12">
        <f>B8/C8</f>
        <v/>
      </c>
    </row>
    <row r="9"/>
    <row r="10" ht="25" customHeight="1">
      <c r="A10" s="44" t="inlineStr">
        <is>
          <t>DERIVADAS DE ESTABILIDAD Y COMPORTAMIENTO LONGITUDINAL</t>
        </is>
      </c>
    </row>
    <row r="11" ht="22" customHeight="1">
      <c r="A11" s="9" t="inlineStr">
        <is>
          <t>Pendiente de Sustentación (Linear CL_alpha)</t>
        </is>
      </c>
      <c r="B11" s="4" t="n"/>
      <c r="C11" s="51" t="inlineStr">
        <is>
          <t>CL_alpha</t>
        </is>
      </c>
      <c r="D11" s="52" t="n">
        <v>2.71</v>
      </c>
      <c r="E11" s="4" t="n"/>
    </row>
    <row r="12" ht="22" customHeight="1">
      <c r="A12" s="9" t="inlineStr">
        <is>
          <t>Gradiente de Momento de Cabeceo (Cm_alpha)</t>
        </is>
      </c>
      <c r="B12" s="4" t="n"/>
      <c r="C12" s="51" t="inlineStr">
        <is>
          <t>Cm_alpha</t>
        </is>
      </c>
      <c r="D12" s="52" t="n">
        <v>-0.205</v>
      </c>
      <c r="E12" s="4" t="n"/>
    </row>
    <row r="13" ht="22" customHeight="1">
      <c r="A13" s="53" t="inlineStr">
        <is>
          <t>Margen Estático de Diseño (Static Margin, SM)</t>
        </is>
      </c>
      <c r="B13" s="41" t="n"/>
      <c r="C13" s="54" t="inlineStr">
        <is>
          <t>SM</t>
        </is>
      </c>
      <c r="D13" s="55">
        <f>-B12/B11</f>
        <v/>
      </c>
      <c r="E13" s="56" t="n"/>
    </row>
  </sheetData>
  <mergeCells count="9">
    <mergeCell ref="A2:E2"/>
    <mergeCell ref="D11:E11"/>
    <mergeCell ref="A11:B11"/>
    <mergeCell ref="A10:E10"/>
    <mergeCell ref="D13:E13"/>
    <mergeCell ref="A13:B13"/>
    <mergeCell ref="A1:E1"/>
    <mergeCell ref="D12:E1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2026-07-05T00:42:49Z</dcterms:created>
  <dcterms:modified xsi:type="dcterms:W3CDTF">2026-07-05T00:42:49Z</dcterms:modified>
</cp:coreProperties>
</file>